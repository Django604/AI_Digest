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31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94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11" fillId="0" borderId="7" applyAlignment="1" pivotButton="0" quotePrefix="0" xfId="0">
      <alignment horizontal="center" vertical="center"/>
    </xf>
    <xf numFmtId="0" fontId="10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3" fillId="6" borderId="10" applyAlignment="1" pivotButton="0" quotePrefix="0" xfId="0">
      <alignment horizontal="center" vertical="center" wrapText="1"/>
    </xf>
    <xf numFmtId="166" fontId="13" fillId="6" borderId="10" applyAlignment="1" pivotButton="0" quotePrefix="0" xfId="0">
      <alignment horizontal="center" vertical="center" wrapText="1"/>
    </xf>
    <xf numFmtId="166" fontId="14" fillId="0" borderId="10" applyAlignment="1" pivotButton="0" quotePrefix="0" xfId="0">
      <alignment horizontal="center" vertical="center" wrapText="1"/>
    </xf>
    <xf numFmtId="167" fontId="13" fillId="6" borderId="10" applyAlignment="1" pivotButton="0" quotePrefix="0" xfId="0">
      <alignment horizontal="center" vertical="center" wrapText="1"/>
    </xf>
    <xf numFmtId="0" fontId="14" fillId="0" borderId="10" applyAlignment="1" pivotButton="0" quotePrefix="0" xfId="0">
      <alignment horizontal="center" vertical="center" wrapText="1"/>
    </xf>
    <xf numFmtId="168" fontId="13" fillId="6" borderId="10" applyAlignment="1" pivotButton="0" quotePrefix="0" xfId="0">
      <alignment horizontal="center" vertical="center" wrapText="1"/>
    </xf>
    <xf numFmtId="14" fontId="14" fillId="0" borderId="10" applyAlignment="1" pivotButton="0" quotePrefix="0" xfId="0">
      <alignment horizontal="center" vertical="center" wrapText="1"/>
    </xf>
    <xf numFmtId="0" fontId="15" fillId="0" borderId="11" applyAlignment="1" pivotButton="0" quotePrefix="0" xfId="0">
      <alignment horizontal="center" vertical="center"/>
    </xf>
    <xf numFmtId="169" fontId="15" fillId="0" borderId="11" applyAlignment="1" pivotButton="0" quotePrefix="0" xfId="0">
      <alignment horizontal="center" vertical="center"/>
    </xf>
    <xf numFmtId="170" fontId="15" fillId="0" borderId="11" applyAlignment="1" pivotButton="0" quotePrefix="0" xfId="0">
      <alignment horizontal="center" vertical="center"/>
    </xf>
    <xf numFmtId="14" fontId="15" fillId="0" borderId="11" applyAlignment="1" pivotButton="0" quotePrefix="0" xfId="0">
      <alignment horizontal="center" vertical="center"/>
    </xf>
    <xf numFmtId="0" fontId="6" fillId="0" borderId="0" pivotButton="0" quotePrefix="0" xfId="8"/>
    <xf numFmtId="171" fontId="6" fillId="0" borderId="0" pivotButton="0" quotePrefix="0" xfId="8"/>
    <xf numFmtId="0" fontId="16" fillId="7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0" fontId="19" fillId="8" borderId="12" applyAlignment="1" pivotButton="0" quotePrefix="0" xfId="0">
      <alignment horizontal="center" vertical="center" wrapText="1"/>
    </xf>
    <xf numFmtId="166" fontId="19" fillId="8" borderId="12" applyAlignment="1" pivotButton="0" quotePrefix="0" xfId="0">
      <alignment horizontal="center" vertical="center" wrapText="1"/>
    </xf>
    <xf numFmtId="166" fontId="20" fillId="0" borderId="12" applyAlignment="1" pivotButton="0" quotePrefix="0" xfId="0">
      <alignment horizontal="center" vertical="center" wrapText="1"/>
    </xf>
    <xf numFmtId="167" fontId="19" fillId="8" borderId="12" applyAlignment="1" pivotButton="0" quotePrefix="0" xfId="0">
      <alignment horizontal="center" vertical="center" wrapText="1"/>
    </xf>
    <xf numFmtId="0" fontId="20" fillId="0" borderId="12" applyAlignment="1" pivotButton="0" quotePrefix="0" xfId="0">
      <alignment horizontal="center" vertical="center" wrapText="1"/>
    </xf>
    <xf numFmtId="168" fontId="19" fillId="8" borderId="12" applyAlignment="1" pivotButton="0" quotePrefix="0" xfId="0">
      <alignment horizontal="center" vertical="center" wrapText="1"/>
    </xf>
    <xf numFmtId="14" fontId="20" fillId="0" borderId="12" applyAlignment="1" pivotButton="0" quotePrefix="0" xfId="0">
      <alignment horizontal="center" vertical="center" wrapText="1"/>
    </xf>
    <xf numFmtId="0" fontId="21" fillId="3" borderId="16" applyAlignment="1" pivotButton="0" quotePrefix="0" xfId="0">
      <alignment horizontal="center" vertical="center"/>
    </xf>
    <xf numFmtId="0" fontId="22" fillId="0" borderId="16" applyAlignment="1" pivotButton="0" quotePrefix="0" xfId="0">
      <alignment horizontal="center" vertical="center"/>
    </xf>
    <xf numFmtId="169" fontId="22" fillId="0" borderId="16" applyAlignment="1" pivotButton="0" quotePrefix="0" xfId="0">
      <alignment horizontal="center" vertical="center"/>
    </xf>
    <xf numFmtId="170" fontId="22" fillId="0" borderId="16" applyAlignment="1" pivotButton="0" quotePrefix="0" xfId="0">
      <alignment horizontal="center" vertical="center"/>
    </xf>
    <xf numFmtId="14" fontId="22" fillId="0" borderId="16" applyAlignment="1" pivotButton="0" quotePrefix="0" xfId="0">
      <alignment horizontal="center" vertical="center"/>
    </xf>
    <xf numFmtId="0" fontId="16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8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71" fontId="6" fillId="0" borderId="16" pivotButton="0" quotePrefix="0" xfId="8"/>
    <xf numFmtId="31" fontId="6" fillId="0" borderId="16" pivotButton="0" quotePrefix="0" xfId="8"/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pivotButton="0" quotePrefix="0" xfId="8"/>
    <xf numFmtId="1" fontId="6" fillId="4" borderId="16" pivotButton="0" quotePrefix="0" xfId="8"/>
    <xf numFmtId="0" fontId="6" fillId="0" borderId="16" pivotButton="0" quotePrefix="0" xfId="8"/>
    <xf numFmtId="1" fontId="9" fillId="0" borderId="16" applyAlignment="1" pivotButton="0" quotePrefix="0" xfId="3">
      <alignment horizontal="center" vertical="center" wrapText="1"/>
    </xf>
    <xf numFmtId="0" fontId="6" fillId="0" borderId="16" applyAlignment="1" pivotButton="0" quotePrefix="0" xfId="9">
      <alignment horizontal="center" vertical="center"/>
    </xf>
    <xf numFmtId="1" fontId="0" fillId="0" borderId="16" applyAlignment="1" pivotButton="0" quotePrefix="0" xfId="0">
      <alignment vertical="center"/>
    </xf>
    <xf numFmtId="1" fontId="0" fillId="0" borderId="16" applyAlignment="1" pivotButton="0" quotePrefix="0" xfId="0">
      <alignment horizontal="center" vertical="center"/>
    </xf>
    <xf numFmtId="171" fontId="6" fillId="0" borderId="0" pivotButton="0" quotePrefix="0" xfId="8"/>
    <xf numFmtId="171" fontId="6" fillId="5" borderId="16" applyAlignment="1" pivotButton="0" quotePrefix="0" xfId="8">
      <alignment horizontal="center" vertical="center"/>
    </xf>
    <xf numFmtId="171" fontId="6" fillId="0" borderId="16" pivotButton="0" quotePrefix="0" xfId="8"/>
    <xf numFmtId="164" fontId="0" fillId="0" borderId="0" pivotButton="0" quotePrefix="0" xfId="0"/>
    <xf numFmtId="165" fontId="0" fillId="0" borderId="0" pivotButton="0" quotePrefix="0" xfId="1"/>
    <xf numFmtId="0" fontId="23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5" fillId="9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0" fontId="27" fillId="10" borderId="21" applyAlignment="1" pivotButton="0" quotePrefix="0" xfId="0">
      <alignment horizontal="center" vertical="center" wrapText="1"/>
    </xf>
    <xf numFmtId="166" fontId="27" fillId="10" borderId="21" applyAlignment="1" pivotButton="0" quotePrefix="0" xfId="0">
      <alignment horizontal="center" vertical="center" wrapText="1"/>
    </xf>
    <xf numFmtId="166" fontId="28" fillId="0" borderId="21" applyAlignment="1" pivotButton="0" quotePrefix="0" xfId="0">
      <alignment horizontal="center" vertical="center" wrapText="1"/>
    </xf>
    <xf numFmtId="167" fontId="27" fillId="10" borderId="21" applyAlignment="1" pivotButton="0" quotePrefix="0" xfId="0">
      <alignment horizontal="center" vertical="center" wrapText="1"/>
    </xf>
    <xf numFmtId="0" fontId="28" fillId="0" borderId="21" applyAlignment="1" pivotButton="0" quotePrefix="0" xfId="0">
      <alignment horizontal="center" vertical="center" wrapText="1"/>
    </xf>
    <xf numFmtId="168" fontId="27" fillId="10" borderId="21" applyAlignment="1" pivotButton="0" quotePrefix="0" xfId="0">
      <alignment horizontal="center" vertical="center" wrapText="1"/>
    </xf>
    <xf numFmtId="14" fontId="28" fillId="0" borderId="21" applyAlignment="1" pivotButton="0" quotePrefix="0" xfId="0">
      <alignment horizontal="center" vertical="center" wrapText="1"/>
    </xf>
    <xf numFmtId="168" fontId="13" fillId="6" borderId="10" applyAlignment="1" pivotButton="0" quotePrefix="0" xfId="0">
      <alignment horizontal="center" vertical="center" wrapText="1"/>
    </xf>
    <xf numFmtId="166" fontId="13" fillId="6" borderId="10" applyAlignment="1" pivotButton="0" quotePrefix="0" xfId="0">
      <alignment horizontal="center" vertical="center" wrapText="1"/>
    </xf>
    <xf numFmtId="166" fontId="14" fillId="0" borderId="10" applyAlignment="1" pivotButton="0" quotePrefix="0" xfId="0">
      <alignment horizontal="center" vertical="center" wrapText="1"/>
    </xf>
    <xf numFmtId="167" fontId="13" fillId="6" borderId="10" applyAlignment="1" pivotButton="0" quotePrefix="0" xfId="0">
      <alignment horizontal="center" vertical="center" wrapText="1"/>
    </xf>
    <xf numFmtId="0" fontId="29" fillId="3" borderId="29" applyAlignment="1" pivotButton="0" quotePrefix="0" xfId="0">
      <alignment horizontal="center" vertical="center"/>
    </xf>
    <xf numFmtId="0" fontId="30" fillId="0" borderId="29" applyAlignment="1" pivotButton="0" quotePrefix="0" xfId="0">
      <alignment horizontal="center" vertical="center"/>
    </xf>
    <xf numFmtId="169" fontId="30" fillId="0" borderId="29" applyAlignment="1" pivotButton="0" quotePrefix="0" xfId="0">
      <alignment horizontal="center" vertical="center"/>
    </xf>
    <xf numFmtId="170" fontId="30" fillId="0" borderId="29" applyAlignment="1" pivotButton="0" quotePrefix="0" xfId="0">
      <alignment horizontal="center" vertical="center"/>
    </xf>
    <xf numFmtId="14" fontId="30" fillId="0" borderId="29" applyAlignment="1" pivotButton="0" quotePrefix="0" xfId="0">
      <alignment horizontal="center" vertical="center"/>
    </xf>
    <xf numFmtId="169" fontId="15" fillId="0" borderId="11" applyAlignment="1" pivotButton="0" quotePrefix="0" xfId="0">
      <alignment horizontal="center" vertical="center"/>
    </xf>
    <xf numFmtId="170" fontId="15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18689</v>
                </pt>
                <pt idx="1">
                  <v>19398</v>
                </pt>
                <pt idx="2">
                  <v>20215</v>
                </pt>
                <pt idx="3">
                  <v>21806</v>
                </pt>
                <pt idx="4">
                  <v>23752</v>
                </pt>
                <pt idx="5">
                  <v>22837</v>
                </pt>
                <pt idx="6">
                  <v>23064</v>
                </pt>
                <pt idx="7">
                  <v>27521</v>
                </pt>
                <pt idx="8">
                  <v>25880</v>
                </pt>
                <pt idx="9">
                  <v>23402</v>
                </pt>
                <pt idx="10">
                  <v>27608</v>
                </pt>
                <pt idx="11">
                  <v>30078</v>
                </pt>
                <pt idx="12">
                  <v>26400</v>
                </pt>
                <pt idx="13">
                  <v>25431</v>
                </pt>
                <pt idx="14">
                  <v>26229</v>
                </pt>
                <pt idx="15">
                  <v>26348</v>
                </pt>
                <pt idx="16">
                  <v>25893</v>
                </pt>
                <pt idx="17">
                  <v>30294</v>
                </pt>
                <pt idx="18">
                  <v>30049</v>
                </pt>
                <pt idx="19">
                  <v>26816</v>
                </pt>
                <pt idx="20">
                  <v>26673</v>
                </pt>
                <pt idx="21">
                  <v>27245</v>
                </pt>
                <pt idx="22">
                  <v>27071</v>
                </pt>
                <pt idx="23">
                  <v>27616</v>
                </pt>
                <pt idx="24">
                  <v>32767</v>
                </pt>
                <pt idx="25">
                  <v>31369</v>
                </pt>
                <pt idx="26">
                  <v>28496</v>
                </pt>
                <pt idx="27">
                  <v>29156</v>
                </pt>
                <pt idx="28">
                  <v>29994</v>
                </pt>
                <pt idx="29">
                  <v>31978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18689</v>
                </pt>
                <pt idx="1">
                  <v>38087</v>
                </pt>
                <pt idx="2">
                  <v>58302</v>
                </pt>
                <pt idx="3">
                  <v>80108</v>
                </pt>
                <pt idx="4">
                  <v>103860</v>
                </pt>
                <pt idx="5">
                  <v>126697</v>
                </pt>
                <pt idx="6">
                  <v>149761</v>
                </pt>
                <pt idx="7">
                  <v>177282</v>
                </pt>
                <pt idx="8">
                  <v>203162</v>
                </pt>
                <pt idx="9">
                  <v>226564</v>
                </pt>
                <pt idx="10">
                  <v>254172</v>
                </pt>
                <pt idx="11">
                  <v>284250</v>
                </pt>
                <pt idx="12">
                  <v>310650</v>
                </pt>
                <pt idx="13">
                  <v>336081</v>
                </pt>
                <pt idx="14">
                  <v>362310</v>
                </pt>
                <pt idx="15">
                  <v>388658</v>
                </pt>
                <pt idx="16">
                  <v>414551</v>
                </pt>
                <pt idx="17">
                  <v>444845</v>
                </pt>
                <pt idx="18">
                  <v>474894</v>
                </pt>
                <pt idx="19">
                  <v>501710</v>
                </pt>
                <pt idx="20">
                  <v>528383</v>
                </pt>
                <pt idx="21">
                  <v>555628</v>
                </pt>
                <pt idx="22">
                  <v>582699</v>
                </pt>
                <pt idx="23">
                  <v>610315</v>
                </pt>
                <pt idx="24">
                  <v>643082</v>
                </pt>
                <pt idx="25">
                  <v>674451</v>
                </pt>
                <pt idx="26">
                  <v>702947</v>
                </pt>
                <pt idx="27">
                  <v>732103</v>
                </pt>
                <pt idx="28">
                  <v>762097</v>
                </pt>
                <pt idx="29">
                  <v>794075</v>
                </pt>
                <pt idx="30">
                  <v>794075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1" t="inlineStr">
        <is>
          <t>今日</t>
        </is>
      </c>
      <c r="C1" s="12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3" t="inlineStr">
        <is>
          <t>当月首日</t>
        </is>
      </c>
      <c r="C7" s="14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681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5" min="1" max="1"/>
    <col width="15" customWidth="1" style="29" min="2" max="2"/>
    <col width="9" customWidth="1" style="29" min="3" max="14"/>
    <col width="16.625" bestFit="1" customWidth="1" style="29" min="15" max="18"/>
    <col width="18.625" bestFit="1" customWidth="1" style="29" min="19" max="19"/>
    <col width="19.625" bestFit="1" customWidth="1" style="29" min="20" max="20"/>
    <col width="16.625" bestFit="1" customWidth="1" style="29" min="21" max="22"/>
    <col width="21.75" bestFit="1" customWidth="1" style="29" min="23" max="23"/>
    <col width="19.625" bestFit="1" customWidth="1" style="29" min="24" max="24"/>
    <col width="9" customWidth="1" style="29" min="25" max="16384"/>
  </cols>
  <sheetData>
    <row r="2">
      <c r="A2" s="66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7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7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7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7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7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7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7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7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7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7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7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7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7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7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7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7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7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7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7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7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7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7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7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7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7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7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7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7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7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7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7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7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7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7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7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7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7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7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7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7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7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7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7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7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7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7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7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7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7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7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7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7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7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7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7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7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7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7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7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7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7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7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7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7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7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7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7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7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7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7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7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7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7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7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7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7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7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7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7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7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7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7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7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7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7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7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7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7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7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7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7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7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7" t="n">
        <v>46174</v>
      </c>
      <c r="B95" s="55" t="inlineStr">
        <is>
          <t>N7</t>
        </is>
      </c>
      <c r="C95" s="58" t="n"/>
      <c r="D95" s="58" t="n"/>
      <c r="E95" s="58" t="n"/>
      <c r="F95" s="58" t="n"/>
      <c r="G95" s="58" t="n"/>
      <c r="H95" s="58" t="n"/>
      <c r="I95" s="58" t="n"/>
      <c r="J95" s="58" t="n"/>
      <c r="K95" s="58" t="n"/>
      <c r="L95" s="58" t="n"/>
      <c r="M95" s="56">
        <f>N95-SUM(C95:L95)</f>
        <v/>
      </c>
      <c r="N95" s="59" t="n"/>
      <c r="O95" s="58" t="n"/>
      <c r="P95" s="58" t="n"/>
      <c r="Q95" s="58" t="n"/>
      <c r="R95" s="58" t="n"/>
      <c r="S95" s="58" t="n"/>
      <c r="T95" s="58" t="n"/>
      <c r="U95" s="58" t="n"/>
      <c r="V95" s="58" t="n"/>
      <c r="W95" s="58" t="n"/>
      <c r="X95" s="58" t="n"/>
    </row>
    <row r="96">
      <c r="A96" s="67" t="n">
        <v>46175</v>
      </c>
      <c r="B96" s="55" t="inlineStr">
        <is>
          <t>N7</t>
        </is>
      </c>
      <c r="C96" s="58" t="n"/>
      <c r="D96" s="58" t="n"/>
      <c r="E96" s="58" t="n"/>
      <c r="F96" s="58" t="n"/>
      <c r="G96" s="58" t="n"/>
      <c r="H96" s="58" t="n"/>
      <c r="I96" s="58" t="n"/>
      <c r="J96" s="58" t="n"/>
      <c r="K96" s="58" t="n"/>
      <c r="L96" s="58" t="n"/>
      <c r="M96" s="56">
        <f>N96-SUM(C96:L96)</f>
        <v/>
      </c>
      <c r="N96" s="59" t="n"/>
      <c r="O96" s="58" t="n"/>
      <c r="P96" s="58" t="n"/>
      <c r="Q96" s="58" t="n"/>
      <c r="R96" s="58" t="n"/>
      <c r="S96" s="58" t="n"/>
      <c r="T96" s="58" t="n"/>
      <c r="U96" s="58" t="n"/>
      <c r="V96" s="58" t="n"/>
      <c r="W96" s="58" t="n"/>
      <c r="X96" s="58" t="n"/>
    </row>
    <row r="97">
      <c r="A97" s="67" t="n">
        <v>46176</v>
      </c>
      <c r="B97" s="55" t="inlineStr">
        <is>
          <t>N7</t>
        </is>
      </c>
      <c r="C97" s="58" t="n"/>
      <c r="D97" s="58" t="n"/>
      <c r="E97" s="58" t="n"/>
      <c r="F97" s="58" t="n"/>
      <c r="G97" s="58" t="n"/>
      <c r="H97" s="58" t="n"/>
      <c r="I97" s="58" t="n"/>
      <c r="J97" s="58" t="n"/>
      <c r="K97" s="58" t="n"/>
      <c r="L97" s="58" t="n"/>
      <c r="M97" s="56">
        <f>N97-SUM(C97:L97)</f>
        <v/>
      </c>
      <c r="N97" s="59" t="n"/>
      <c r="O97" s="58" t="n"/>
      <c r="P97" s="58" t="n"/>
      <c r="Q97" s="58" t="n"/>
      <c r="R97" s="58" t="n"/>
      <c r="S97" s="58" t="n"/>
      <c r="T97" s="58" t="n"/>
      <c r="U97" s="58" t="n"/>
      <c r="V97" s="58" t="n"/>
      <c r="W97" s="58" t="n"/>
      <c r="X97" s="58" t="n"/>
    </row>
    <row r="98">
      <c r="A98" s="67" t="n">
        <v>46177</v>
      </c>
      <c r="B98" s="55" t="inlineStr">
        <is>
          <t>N7</t>
        </is>
      </c>
      <c r="C98" s="58" t="n"/>
      <c r="D98" s="58" t="n"/>
      <c r="E98" s="58" t="n"/>
      <c r="F98" s="58" t="n"/>
      <c r="G98" s="58" t="n"/>
      <c r="H98" s="58" t="n"/>
      <c r="I98" s="58" t="n"/>
      <c r="J98" s="58" t="n"/>
      <c r="K98" s="58" t="n"/>
      <c r="L98" s="58" t="n"/>
      <c r="M98" s="56">
        <f>N98-SUM(C98:L98)</f>
        <v/>
      </c>
      <c r="N98" s="59" t="n"/>
      <c r="O98" s="58" t="n"/>
      <c r="P98" s="58" t="n"/>
      <c r="Q98" s="58" t="n"/>
      <c r="R98" s="58" t="n"/>
      <c r="S98" s="58" t="n"/>
      <c r="T98" s="58" t="n"/>
      <c r="U98" s="58" t="n"/>
      <c r="V98" s="58" t="n"/>
      <c r="W98" s="58" t="n"/>
      <c r="X98" s="58" t="n"/>
    </row>
    <row r="99">
      <c r="A99" s="67" t="n">
        <v>46178</v>
      </c>
      <c r="B99" s="55" t="inlineStr">
        <is>
          <t>N7</t>
        </is>
      </c>
      <c r="C99" s="58" t="n"/>
      <c r="D99" s="58" t="n"/>
      <c r="E99" s="58" t="n"/>
      <c r="F99" s="58" t="n"/>
      <c r="G99" s="58" t="n"/>
      <c r="H99" s="58" t="n"/>
      <c r="I99" s="58" t="n"/>
      <c r="J99" s="58" t="n"/>
      <c r="K99" s="58" t="n"/>
      <c r="L99" s="58" t="n"/>
      <c r="M99" s="56">
        <f>N99-SUM(C99:L99)</f>
        <v/>
      </c>
      <c r="N99" s="59" t="n"/>
      <c r="O99" s="58" t="n"/>
      <c r="P99" s="58" t="n"/>
      <c r="Q99" s="58" t="n"/>
      <c r="R99" s="58" t="n"/>
      <c r="S99" s="58" t="n"/>
      <c r="T99" s="58" t="n"/>
      <c r="U99" s="58" t="n"/>
      <c r="V99" s="58" t="n"/>
      <c r="W99" s="58" t="n"/>
      <c r="X99" s="58" t="n"/>
    </row>
    <row r="100">
      <c r="A100" s="67" t="n">
        <v>46179</v>
      </c>
      <c r="B100" s="55" t="inlineStr">
        <is>
          <t>N7</t>
        </is>
      </c>
      <c r="C100" s="58" t="n"/>
      <c r="D100" s="58" t="n"/>
      <c r="E100" s="58" t="n"/>
      <c r="F100" s="58" t="n"/>
      <c r="G100" s="58" t="n"/>
      <c r="H100" s="58" t="n"/>
      <c r="I100" s="58" t="n"/>
      <c r="J100" s="58" t="n"/>
      <c r="K100" s="58" t="n"/>
      <c r="L100" s="58" t="n"/>
      <c r="M100" s="56">
        <f>N100-SUM(C100:L100)</f>
        <v/>
      </c>
      <c r="N100" s="59" t="n"/>
      <c r="O100" s="58" t="n"/>
      <c r="P100" s="58" t="n"/>
      <c r="Q100" s="58" t="n"/>
      <c r="R100" s="58" t="n"/>
      <c r="S100" s="58" t="n"/>
      <c r="T100" s="58" t="n"/>
      <c r="U100" s="58" t="n"/>
      <c r="V100" s="58" t="n"/>
      <c r="W100" s="58" t="n"/>
      <c r="X100" s="58" t="n"/>
    </row>
    <row r="101">
      <c r="A101" s="67" t="n">
        <v>46180</v>
      </c>
      <c r="B101" s="55" t="inlineStr">
        <is>
          <t>N7</t>
        </is>
      </c>
      <c r="C101" s="58" t="n"/>
      <c r="D101" s="58" t="n"/>
      <c r="E101" s="58" t="n"/>
      <c r="F101" s="58" t="n"/>
      <c r="G101" s="58" t="n"/>
      <c r="H101" s="58" t="n"/>
      <c r="I101" s="58" t="n"/>
      <c r="J101" s="58" t="n"/>
      <c r="K101" s="58" t="n"/>
      <c r="L101" s="58" t="n"/>
      <c r="M101" s="56">
        <f>N101-SUM(C101:L101)</f>
        <v/>
      </c>
      <c r="N101" s="59" t="n"/>
      <c r="O101" s="58" t="n"/>
      <c r="P101" s="58" t="n"/>
      <c r="Q101" s="58" t="n"/>
      <c r="R101" s="58" t="n"/>
      <c r="S101" s="58" t="n"/>
      <c r="T101" s="58" t="n"/>
      <c r="U101" s="58" t="n"/>
      <c r="V101" s="58" t="n"/>
      <c r="W101" s="58" t="n"/>
      <c r="X101" s="58" t="n"/>
    </row>
    <row r="102">
      <c r="A102" s="67" t="n">
        <v>46181</v>
      </c>
      <c r="B102" s="55" t="inlineStr">
        <is>
          <t>N7</t>
        </is>
      </c>
      <c r="C102" s="58" t="n"/>
      <c r="D102" s="58" t="n"/>
      <c r="E102" s="58" t="n"/>
      <c r="F102" s="58" t="n"/>
      <c r="G102" s="58" t="n"/>
      <c r="H102" s="58" t="n"/>
      <c r="I102" s="58" t="n"/>
      <c r="J102" s="58" t="n"/>
      <c r="K102" s="58" t="n"/>
      <c r="L102" s="58" t="n"/>
      <c r="M102" s="56">
        <f>N102-SUM(C102:L102)</f>
        <v/>
      </c>
      <c r="N102" s="59" t="n"/>
      <c r="O102" s="58" t="n"/>
      <c r="P102" s="58" t="n"/>
      <c r="Q102" s="58" t="n"/>
      <c r="R102" s="58" t="n"/>
      <c r="S102" s="58" t="n"/>
      <c r="T102" s="58" t="n"/>
      <c r="U102" s="58" t="n"/>
      <c r="V102" s="58" t="n"/>
      <c r="W102" s="58" t="n"/>
      <c r="X102" s="58" t="n"/>
    </row>
    <row r="103">
      <c r="A103" s="67" t="n">
        <v>46182</v>
      </c>
      <c r="B103" s="55" t="inlineStr">
        <is>
          <t>N7</t>
        </is>
      </c>
      <c r="C103" s="58" t="n"/>
      <c r="D103" s="58" t="n"/>
      <c r="E103" s="58" t="n"/>
      <c r="F103" s="58" t="n"/>
      <c r="G103" s="58" t="n"/>
      <c r="H103" s="58" t="n"/>
      <c r="I103" s="58" t="n"/>
      <c r="J103" s="58" t="n"/>
      <c r="K103" s="58" t="n"/>
      <c r="L103" s="58" t="n"/>
      <c r="M103" s="56">
        <f>N103-SUM(C103:L103)</f>
        <v/>
      </c>
      <c r="N103" s="59" t="n"/>
      <c r="O103" s="58" t="n"/>
      <c r="P103" s="58" t="n"/>
      <c r="Q103" s="58" t="n"/>
      <c r="R103" s="58" t="n"/>
      <c r="S103" s="58" t="n"/>
      <c r="T103" s="58" t="n"/>
      <c r="U103" s="58" t="n"/>
      <c r="V103" s="58" t="n"/>
      <c r="W103" s="58" t="n"/>
      <c r="X103" s="58" t="n"/>
    </row>
    <row r="104">
      <c r="A104" s="67" t="n">
        <v>46183</v>
      </c>
      <c r="B104" s="55" t="inlineStr">
        <is>
          <t>N7</t>
        </is>
      </c>
      <c r="C104" s="58" t="n"/>
      <c r="D104" s="58" t="n"/>
      <c r="E104" s="58" t="n"/>
      <c r="F104" s="58" t="n"/>
      <c r="G104" s="58" t="n"/>
      <c r="H104" s="58" t="n"/>
      <c r="I104" s="58" t="n"/>
      <c r="J104" s="58" t="n"/>
      <c r="K104" s="58" t="n"/>
      <c r="L104" s="58" t="n"/>
      <c r="M104" s="56">
        <f>N104-SUM(C104:L104)</f>
        <v/>
      </c>
      <c r="N104" s="59" t="n"/>
      <c r="O104" s="58" t="n"/>
      <c r="P104" s="58" t="n"/>
      <c r="Q104" s="58" t="n"/>
      <c r="R104" s="58" t="n"/>
      <c r="S104" s="58" t="n"/>
      <c r="T104" s="58" t="n"/>
      <c r="U104" s="58" t="n"/>
      <c r="V104" s="58" t="n"/>
      <c r="W104" s="58" t="n"/>
      <c r="X104" s="58" t="n"/>
    </row>
    <row r="105">
      <c r="A105" s="67" t="n">
        <v>46184</v>
      </c>
      <c r="B105" s="55" t="inlineStr">
        <is>
          <t>N7</t>
        </is>
      </c>
      <c r="C105" s="58" t="n"/>
      <c r="D105" s="58" t="n"/>
      <c r="E105" s="58" t="n"/>
      <c r="F105" s="58" t="n"/>
      <c r="G105" s="58" t="n"/>
      <c r="H105" s="58" t="n"/>
      <c r="I105" s="58" t="n"/>
      <c r="J105" s="58" t="n"/>
      <c r="K105" s="58" t="n"/>
      <c r="L105" s="58" t="n"/>
      <c r="M105" s="56">
        <f>N105-SUM(C105:L105)</f>
        <v/>
      </c>
      <c r="N105" s="59" t="n"/>
      <c r="O105" s="58" t="n"/>
      <c r="P105" s="58" t="n"/>
      <c r="Q105" s="58" t="n"/>
      <c r="R105" s="58" t="n"/>
      <c r="S105" s="58" t="n"/>
      <c r="T105" s="58" t="n"/>
      <c r="U105" s="58" t="n"/>
      <c r="V105" s="58" t="n"/>
      <c r="W105" s="58" t="n"/>
      <c r="X105" s="58" t="n"/>
    </row>
    <row r="106">
      <c r="A106" s="67" t="n">
        <v>46185</v>
      </c>
      <c r="B106" s="55" t="inlineStr">
        <is>
          <t>N7</t>
        </is>
      </c>
      <c r="C106" s="58" t="n"/>
      <c r="D106" s="58" t="n"/>
      <c r="E106" s="58" t="n"/>
      <c r="F106" s="58" t="n"/>
      <c r="G106" s="58" t="n"/>
      <c r="H106" s="58" t="n"/>
      <c r="I106" s="58" t="n"/>
      <c r="J106" s="58" t="n"/>
      <c r="K106" s="58" t="n"/>
      <c r="L106" s="58" t="n"/>
      <c r="M106" s="56">
        <f>N106-SUM(C106:L106)</f>
        <v/>
      </c>
      <c r="N106" s="59" t="n"/>
      <c r="O106" s="58" t="n"/>
      <c r="P106" s="58" t="n"/>
      <c r="Q106" s="58" t="n"/>
      <c r="R106" s="58" t="n"/>
      <c r="S106" s="58" t="n"/>
      <c r="T106" s="58" t="n"/>
      <c r="U106" s="58" t="n"/>
      <c r="V106" s="58" t="n"/>
      <c r="W106" s="58" t="n"/>
      <c r="X106" s="58" t="n"/>
    </row>
    <row r="107">
      <c r="A107" s="67" t="n">
        <v>46186</v>
      </c>
      <c r="B107" s="55" t="inlineStr">
        <is>
          <t>N7</t>
        </is>
      </c>
      <c r="C107" s="58" t="n"/>
      <c r="D107" s="58" t="n"/>
      <c r="E107" s="58" t="n"/>
      <c r="F107" s="58" t="n"/>
      <c r="G107" s="58" t="n"/>
      <c r="H107" s="58" t="n"/>
      <c r="I107" s="58" t="n"/>
      <c r="J107" s="58" t="n"/>
      <c r="K107" s="58" t="n"/>
      <c r="L107" s="58" t="n"/>
      <c r="M107" s="56">
        <f>N107-SUM(C107:L107)</f>
        <v/>
      </c>
      <c r="N107" s="59" t="n"/>
      <c r="O107" s="58" t="n"/>
      <c r="P107" s="58" t="n"/>
      <c r="Q107" s="58" t="n"/>
      <c r="R107" s="58" t="n"/>
      <c r="S107" s="58" t="n"/>
      <c r="T107" s="58" t="n"/>
      <c r="U107" s="58" t="n"/>
      <c r="V107" s="58" t="n"/>
      <c r="W107" s="58" t="n"/>
      <c r="X107" s="58" t="n"/>
    </row>
    <row r="108">
      <c r="A108" s="67" t="n">
        <v>46187</v>
      </c>
      <c r="B108" s="55" t="inlineStr">
        <is>
          <t>N7</t>
        </is>
      </c>
      <c r="C108" s="58" t="n"/>
      <c r="D108" s="58" t="n"/>
      <c r="E108" s="58" t="n"/>
      <c r="F108" s="58" t="n"/>
      <c r="G108" s="58" t="n"/>
      <c r="H108" s="58" t="n"/>
      <c r="I108" s="58" t="n"/>
      <c r="J108" s="58" t="n"/>
      <c r="K108" s="58" t="n"/>
      <c r="L108" s="58" t="n"/>
      <c r="M108" s="56">
        <f>N108-SUM(C108:L108)</f>
        <v/>
      </c>
      <c r="N108" s="59" t="n"/>
      <c r="O108" s="58" t="n"/>
      <c r="P108" s="58" t="n"/>
      <c r="Q108" s="58" t="n"/>
      <c r="R108" s="58" t="n"/>
      <c r="S108" s="58" t="n"/>
      <c r="T108" s="58" t="n"/>
      <c r="U108" s="58" t="n"/>
      <c r="V108" s="58" t="n"/>
      <c r="W108" s="58" t="n"/>
      <c r="X108" s="58" t="n"/>
    </row>
    <row r="109">
      <c r="A109" s="67" t="n">
        <v>46188</v>
      </c>
      <c r="B109" s="55" t="inlineStr">
        <is>
          <t>N7</t>
        </is>
      </c>
      <c r="C109" s="58" t="n"/>
      <c r="D109" s="58" t="n"/>
      <c r="E109" s="58" t="n"/>
      <c r="F109" s="58" t="n"/>
      <c r="G109" s="58" t="n"/>
      <c r="H109" s="58" t="n"/>
      <c r="I109" s="58" t="n"/>
      <c r="J109" s="58" t="n"/>
      <c r="K109" s="58" t="n"/>
      <c r="L109" s="58" t="n"/>
      <c r="M109" s="56">
        <f>N109-SUM(C109:L109)</f>
        <v/>
      </c>
      <c r="N109" s="59" t="n"/>
      <c r="O109" s="58" t="n"/>
      <c r="P109" s="58" t="n"/>
      <c r="Q109" s="58" t="n"/>
      <c r="R109" s="58" t="n"/>
      <c r="S109" s="58" t="n"/>
      <c r="T109" s="58" t="n"/>
      <c r="U109" s="58" t="n"/>
      <c r="V109" s="58" t="n"/>
      <c r="W109" s="58" t="n"/>
      <c r="X109" s="58" t="n"/>
    </row>
    <row r="110">
      <c r="A110" s="67" t="n">
        <v>46189</v>
      </c>
      <c r="B110" s="55" t="inlineStr">
        <is>
          <t>N7</t>
        </is>
      </c>
      <c r="C110" s="58" t="n"/>
      <c r="D110" s="58" t="n"/>
      <c r="E110" s="58" t="n"/>
      <c r="F110" s="58" t="n"/>
      <c r="G110" s="58" t="n"/>
      <c r="H110" s="58" t="n"/>
      <c r="I110" s="58" t="n"/>
      <c r="J110" s="58" t="n"/>
      <c r="K110" s="58" t="n"/>
      <c r="L110" s="58" t="n"/>
      <c r="M110" s="56">
        <f>N110-SUM(C110:L110)</f>
        <v/>
      </c>
      <c r="N110" s="59" t="n"/>
      <c r="O110" s="58" t="n"/>
      <c r="P110" s="58" t="n"/>
      <c r="Q110" s="58" t="n"/>
      <c r="R110" s="58" t="n"/>
      <c r="S110" s="58" t="n"/>
      <c r="T110" s="58" t="n"/>
      <c r="U110" s="58" t="n"/>
      <c r="V110" s="58" t="n"/>
      <c r="W110" s="58" t="n"/>
      <c r="X110" s="58" t="n"/>
    </row>
    <row r="111">
      <c r="A111" s="67" t="n">
        <v>46190</v>
      </c>
      <c r="B111" s="55" t="inlineStr">
        <is>
          <t>N7</t>
        </is>
      </c>
      <c r="C111" s="58" t="n"/>
      <c r="D111" s="58" t="n"/>
      <c r="E111" s="58" t="n"/>
      <c r="F111" s="58" t="n"/>
      <c r="G111" s="58" t="n"/>
      <c r="H111" s="58" t="n"/>
      <c r="I111" s="58" t="n"/>
      <c r="J111" s="58" t="n"/>
      <c r="K111" s="58" t="n"/>
      <c r="L111" s="58" t="n"/>
      <c r="M111" s="56">
        <f>N111-SUM(C111:L111)</f>
        <v/>
      </c>
      <c r="N111" s="59" t="n"/>
      <c r="O111" s="58" t="n"/>
      <c r="P111" s="58" t="n"/>
      <c r="Q111" s="58" t="n"/>
      <c r="R111" s="58" t="n"/>
      <c r="S111" s="58" t="n"/>
      <c r="T111" s="58" t="n"/>
      <c r="U111" s="58" t="n"/>
      <c r="V111" s="58" t="n"/>
      <c r="W111" s="58" t="n"/>
      <c r="X111" s="58" t="n"/>
    </row>
    <row r="112">
      <c r="A112" s="67" t="n">
        <v>46191</v>
      </c>
      <c r="B112" s="55" t="inlineStr">
        <is>
          <t>N7</t>
        </is>
      </c>
      <c r="C112" s="58" t="n"/>
      <c r="D112" s="58" t="n"/>
      <c r="E112" s="58" t="n"/>
      <c r="F112" s="58" t="n"/>
      <c r="G112" s="58" t="n"/>
      <c r="H112" s="58" t="n"/>
      <c r="I112" s="58" t="n"/>
      <c r="J112" s="58" t="n"/>
      <c r="K112" s="58" t="n"/>
      <c r="L112" s="58" t="n"/>
      <c r="M112" s="56">
        <f>N112-SUM(C112:L112)</f>
        <v/>
      </c>
      <c r="N112" s="59" t="n"/>
      <c r="O112" s="58" t="n"/>
      <c r="P112" s="58" t="n"/>
      <c r="Q112" s="58" t="n"/>
      <c r="R112" s="58" t="n"/>
      <c r="S112" s="58" t="n"/>
      <c r="T112" s="58" t="n"/>
      <c r="U112" s="58" t="n"/>
      <c r="V112" s="58" t="n"/>
      <c r="W112" s="58" t="n"/>
      <c r="X112" s="58" t="n"/>
    </row>
    <row r="113">
      <c r="A113" s="67" t="n">
        <v>46192</v>
      </c>
      <c r="B113" s="55" t="inlineStr">
        <is>
          <t>N7</t>
        </is>
      </c>
      <c r="C113" s="58" t="n"/>
      <c r="D113" s="58" t="n"/>
      <c r="E113" s="58" t="n"/>
      <c r="F113" s="58" t="n"/>
      <c r="G113" s="58" t="n"/>
      <c r="H113" s="58" t="n"/>
      <c r="I113" s="58" t="n"/>
      <c r="J113" s="58" t="n"/>
      <c r="K113" s="58" t="n"/>
      <c r="L113" s="58" t="n"/>
      <c r="M113" s="56">
        <f>N113-SUM(C113:L113)</f>
        <v/>
      </c>
      <c r="N113" s="59" t="n"/>
      <c r="O113" s="58" t="n"/>
      <c r="P113" s="58" t="n"/>
      <c r="Q113" s="58" t="n"/>
      <c r="R113" s="58" t="n"/>
      <c r="S113" s="58" t="n"/>
      <c r="T113" s="58" t="n"/>
      <c r="U113" s="58" t="n"/>
      <c r="V113" s="58" t="n"/>
      <c r="W113" s="58" t="n"/>
      <c r="X113" s="58" t="n"/>
    </row>
    <row r="114">
      <c r="A114" s="67" t="n">
        <v>46193</v>
      </c>
      <c r="B114" s="55" t="inlineStr">
        <is>
          <t>N7</t>
        </is>
      </c>
      <c r="C114" s="58" t="n"/>
      <c r="D114" s="58" t="n"/>
      <c r="E114" s="58" t="n"/>
      <c r="F114" s="58" t="n"/>
      <c r="G114" s="58" t="n"/>
      <c r="H114" s="58" t="n"/>
      <c r="I114" s="58" t="n"/>
      <c r="J114" s="58" t="n"/>
      <c r="K114" s="58" t="n"/>
      <c r="L114" s="58" t="n"/>
      <c r="M114" s="56">
        <f>N114-SUM(C114:L114)</f>
        <v/>
      </c>
      <c r="N114" s="59" t="n"/>
      <c r="O114" s="58" t="n"/>
      <c r="P114" s="58" t="n"/>
      <c r="Q114" s="58" t="n"/>
      <c r="R114" s="58" t="n"/>
      <c r="S114" s="58" t="n"/>
      <c r="T114" s="58" t="n"/>
      <c r="U114" s="58" t="n"/>
      <c r="V114" s="58" t="n"/>
      <c r="W114" s="58" t="n"/>
      <c r="X114" s="58" t="n"/>
    </row>
    <row r="115">
      <c r="A115" s="67" t="n">
        <v>46194</v>
      </c>
      <c r="B115" s="55" t="inlineStr">
        <is>
          <t>N7</t>
        </is>
      </c>
      <c r="C115" s="58" t="n"/>
      <c r="D115" s="58" t="n"/>
      <c r="E115" s="58" t="n"/>
      <c r="F115" s="58" t="n"/>
      <c r="G115" s="58" t="n"/>
      <c r="H115" s="58" t="n"/>
      <c r="I115" s="58" t="n"/>
      <c r="J115" s="58" t="n"/>
      <c r="K115" s="58" t="n"/>
      <c r="L115" s="58" t="n"/>
      <c r="M115" s="56">
        <f>N115-SUM(C115:L115)</f>
        <v/>
      </c>
      <c r="N115" s="59" t="n"/>
      <c r="O115" s="58" t="n"/>
      <c r="P115" s="58" t="n"/>
      <c r="Q115" s="58" t="n"/>
      <c r="R115" s="58" t="n"/>
      <c r="S115" s="58" t="n"/>
      <c r="T115" s="58" t="n"/>
      <c r="U115" s="58" t="n"/>
      <c r="V115" s="58" t="n"/>
      <c r="W115" s="58" t="n"/>
      <c r="X115" s="58" t="n"/>
    </row>
    <row r="116">
      <c r="A116" s="67" t="n">
        <v>46195</v>
      </c>
      <c r="B116" s="55" t="inlineStr">
        <is>
          <t>N7</t>
        </is>
      </c>
      <c r="C116" s="58" t="n"/>
      <c r="D116" s="58" t="n"/>
      <c r="E116" s="58" t="n"/>
      <c r="F116" s="58" t="n"/>
      <c r="G116" s="58" t="n"/>
      <c r="H116" s="58" t="n"/>
      <c r="I116" s="58" t="n"/>
      <c r="J116" s="58" t="n"/>
      <c r="K116" s="58" t="n"/>
      <c r="L116" s="58" t="n"/>
      <c r="M116" s="56">
        <f>N116-SUM(C116:L116)</f>
        <v/>
      </c>
      <c r="N116" s="59" t="n"/>
      <c r="O116" s="58" t="n"/>
      <c r="P116" s="58" t="n"/>
      <c r="Q116" s="58" t="n"/>
      <c r="R116" s="58" t="n"/>
      <c r="S116" s="58" t="n"/>
      <c r="T116" s="58" t="n"/>
      <c r="U116" s="58" t="n"/>
      <c r="V116" s="58" t="n"/>
      <c r="W116" s="58" t="n"/>
      <c r="X116" s="58" t="n"/>
    </row>
    <row r="117">
      <c r="A117" s="67" t="n">
        <v>46196</v>
      </c>
      <c r="B117" s="55" t="inlineStr">
        <is>
          <t>N7</t>
        </is>
      </c>
      <c r="C117" s="58" t="n"/>
      <c r="D117" s="58" t="n"/>
      <c r="E117" s="58" t="n"/>
      <c r="F117" s="58" t="n"/>
      <c r="G117" s="58" t="n"/>
      <c r="H117" s="58" t="n"/>
      <c r="I117" s="58" t="n"/>
      <c r="J117" s="58" t="n"/>
      <c r="K117" s="58" t="n"/>
      <c r="L117" s="58" t="n"/>
      <c r="M117" s="56">
        <f>N117-SUM(C117:L117)</f>
        <v/>
      </c>
      <c r="N117" s="59" t="n"/>
      <c r="O117" s="58" t="n"/>
      <c r="P117" s="58" t="n"/>
      <c r="Q117" s="58" t="n"/>
      <c r="R117" s="58" t="n"/>
      <c r="S117" s="58" t="n"/>
      <c r="T117" s="58" t="n"/>
      <c r="U117" s="58" t="n"/>
      <c r="V117" s="58" t="n"/>
      <c r="W117" s="58" t="n"/>
      <c r="X117" s="58" t="n"/>
    </row>
    <row r="118">
      <c r="A118" s="67" t="n">
        <v>46197</v>
      </c>
      <c r="B118" s="55" t="inlineStr">
        <is>
          <t>N7</t>
        </is>
      </c>
      <c r="C118" s="58" t="n"/>
      <c r="D118" s="58" t="n"/>
      <c r="E118" s="58" t="n"/>
      <c r="F118" s="58" t="n"/>
      <c r="G118" s="58" t="n"/>
      <c r="H118" s="58" t="n"/>
      <c r="I118" s="58" t="n"/>
      <c r="J118" s="58" t="n"/>
      <c r="K118" s="58" t="n"/>
      <c r="L118" s="58" t="n"/>
      <c r="M118" s="56">
        <f>N118-SUM(C118:L118)</f>
        <v/>
      </c>
      <c r="N118" s="59" t="n"/>
      <c r="O118" s="58" t="n"/>
      <c r="P118" s="58" t="n"/>
      <c r="Q118" s="58" t="n"/>
      <c r="R118" s="58" t="n"/>
      <c r="S118" s="58" t="n"/>
      <c r="T118" s="58" t="n"/>
      <c r="U118" s="58" t="n"/>
      <c r="V118" s="58" t="n"/>
      <c r="W118" s="58" t="n"/>
      <c r="X118" s="58" t="n"/>
    </row>
    <row r="119">
      <c r="A119" s="67" t="n">
        <v>46198</v>
      </c>
      <c r="B119" s="55" t="inlineStr">
        <is>
          <t>N7</t>
        </is>
      </c>
      <c r="C119" s="58" t="n"/>
      <c r="D119" s="58" t="n"/>
      <c r="E119" s="58" t="n"/>
      <c r="F119" s="58" t="n"/>
      <c r="G119" s="58" t="n"/>
      <c r="H119" s="58" t="n"/>
      <c r="I119" s="58" t="n"/>
      <c r="J119" s="58" t="n"/>
      <c r="K119" s="58" t="n"/>
      <c r="L119" s="58" t="n"/>
      <c r="M119" s="56">
        <f>N119-SUM(C119:L119)</f>
        <v/>
      </c>
      <c r="N119" s="59" t="n"/>
      <c r="O119" s="58" t="n"/>
      <c r="P119" s="58" t="n"/>
      <c r="Q119" s="58" t="n"/>
      <c r="R119" s="58" t="n"/>
      <c r="S119" s="58" t="n"/>
      <c r="T119" s="58" t="n"/>
      <c r="U119" s="58" t="n"/>
      <c r="V119" s="58" t="n"/>
      <c r="W119" s="58" t="n"/>
      <c r="X119" s="58" t="n"/>
    </row>
    <row r="120">
      <c r="A120" s="67" t="n">
        <v>46199</v>
      </c>
      <c r="B120" s="55" t="inlineStr">
        <is>
          <t>N7</t>
        </is>
      </c>
      <c r="C120" s="58" t="n"/>
      <c r="D120" s="58" t="n"/>
      <c r="E120" s="58" t="n"/>
      <c r="F120" s="58" t="n"/>
      <c r="G120" s="58" t="n"/>
      <c r="H120" s="58" t="n"/>
      <c r="I120" s="58" t="n"/>
      <c r="J120" s="58" t="n"/>
      <c r="K120" s="58" t="n"/>
      <c r="L120" s="58" t="n"/>
      <c r="M120" s="56">
        <f>N120-SUM(C120:L120)</f>
        <v/>
      </c>
      <c r="N120" s="59" t="n"/>
      <c r="O120" s="58" t="n"/>
      <c r="P120" s="58" t="n"/>
      <c r="Q120" s="58" t="n"/>
      <c r="R120" s="58" t="n"/>
      <c r="S120" s="58" t="n"/>
      <c r="T120" s="58" t="n"/>
      <c r="U120" s="58" t="n"/>
      <c r="V120" s="58" t="n"/>
      <c r="W120" s="58" t="n"/>
      <c r="X120" s="58" t="n"/>
    </row>
    <row r="121">
      <c r="A121" s="67" t="n">
        <v>46200</v>
      </c>
      <c r="B121" s="55" t="inlineStr">
        <is>
          <t>N7</t>
        </is>
      </c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6">
        <f>N121-SUM(C121:L121)</f>
        <v/>
      </c>
      <c r="N121" s="59" t="n"/>
      <c r="O121" s="58" t="n"/>
      <c r="P121" s="58" t="n"/>
      <c r="Q121" s="58" t="n"/>
      <c r="R121" s="58" t="n"/>
      <c r="S121" s="58" t="n"/>
      <c r="T121" s="58" t="n"/>
      <c r="U121" s="58" t="n"/>
      <c r="V121" s="58" t="n"/>
      <c r="W121" s="58" t="n"/>
      <c r="X121" s="58" t="n"/>
    </row>
    <row r="122">
      <c r="A122" s="67" t="n">
        <v>46201</v>
      </c>
      <c r="B122" s="55" t="inlineStr">
        <is>
          <t>N7</t>
        </is>
      </c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6">
        <f>N122-SUM(C122:L122)</f>
        <v/>
      </c>
      <c r="N122" s="59" t="n"/>
      <c r="O122" s="58" t="n"/>
      <c r="P122" s="58" t="n"/>
      <c r="Q122" s="58" t="n"/>
      <c r="R122" s="58" t="n"/>
      <c r="S122" s="58" t="n"/>
      <c r="T122" s="58" t="n"/>
      <c r="U122" s="58" t="n"/>
      <c r="V122" s="58" t="n"/>
      <c r="W122" s="58" t="n"/>
      <c r="X122" s="58" t="n"/>
    </row>
    <row r="123">
      <c r="A123" s="67" t="n">
        <v>46202</v>
      </c>
      <c r="B123" s="55" t="inlineStr">
        <is>
          <t>N7</t>
        </is>
      </c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6">
        <f>N123-SUM(C123:L123)</f>
        <v/>
      </c>
      <c r="N123" s="59" t="n"/>
      <c r="O123" s="58" t="n"/>
      <c r="P123" s="58" t="n"/>
      <c r="Q123" s="58" t="n"/>
      <c r="R123" s="58" t="n"/>
      <c r="S123" s="58" t="n"/>
      <c r="T123" s="58" t="n"/>
      <c r="U123" s="58" t="n"/>
      <c r="V123" s="58" t="n"/>
      <c r="W123" s="58" t="n"/>
      <c r="X123" s="58" t="n"/>
    </row>
    <row r="124">
      <c r="A124" s="67" t="n">
        <v>46203</v>
      </c>
      <c r="B124" s="55" t="inlineStr">
        <is>
          <t>N7</t>
        </is>
      </c>
      <c r="C124" s="58" t="n"/>
      <c r="D124" s="58" t="n"/>
      <c r="E124" s="58" t="n"/>
      <c r="F124" s="58" t="n"/>
      <c r="G124" s="58" t="n"/>
      <c r="H124" s="58" t="n"/>
      <c r="I124" s="58" t="n"/>
      <c r="J124" s="58" t="n"/>
      <c r="K124" s="58" t="n"/>
      <c r="L124" s="58" t="n"/>
      <c r="M124" s="56">
        <f>N124-SUM(C124:L124)</f>
        <v/>
      </c>
      <c r="N124" s="59" t="n"/>
      <c r="O124" s="58" t="n"/>
      <c r="P124" s="58" t="n"/>
      <c r="Q124" s="58" t="n"/>
      <c r="R124" s="58" t="n"/>
      <c r="S124" s="58" t="n"/>
      <c r="T124" s="58" t="n"/>
      <c r="U124" s="58" t="n"/>
      <c r="V124" s="58" t="n"/>
      <c r="W124" s="58" t="n"/>
      <c r="X124" s="58" t="n"/>
    </row>
    <row r="125">
      <c r="A125" s="67" t="n">
        <v>46204</v>
      </c>
      <c r="B125" s="55" t="inlineStr">
        <is>
          <t>N7</t>
        </is>
      </c>
      <c r="C125" s="58" t="n"/>
      <c r="D125" s="58" t="n"/>
      <c r="E125" s="58" t="n"/>
      <c r="F125" s="58" t="n"/>
      <c r="G125" s="58" t="n"/>
      <c r="H125" s="58" t="n"/>
      <c r="I125" s="58" t="n"/>
      <c r="J125" s="58" t="n"/>
      <c r="K125" s="58" t="n"/>
      <c r="L125" s="58" t="n"/>
      <c r="M125" s="56">
        <f>N125-SUM(C125:L125)</f>
        <v/>
      </c>
      <c r="N125" s="59" t="n"/>
      <c r="O125" s="58" t="n"/>
      <c r="P125" s="58" t="n"/>
      <c r="Q125" s="58" t="n"/>
      <c r="R125" s="58" t="n"/>
      <c r="S125" s="58" t="n"/>
      <c r="T125" s="58" t="n"/>
      <c r="U125" s="58" t="n"/>
      <c r="V125" s="58" t="n"/>
      <c r="W125" s="58" t="n"/>
      <c r="X125" s="58" t="n"/>
    </row>
    <row r="126">
      <c r="A126" s="67" t="n">
        <v>46205</v>
      </c>
      <c r="B126" s="55" t="inlineStr">
        <is>
          <t>N7</t>
        </is>
      </c>
      <c r="C126" s="58" t="n"/>
      <c r="D126" s="58" t="n"/>
      <c r="E126" s="58" t="n"/>
      <c r="F126" s="58" t="n"/>
      <c r="G126" s="58" t="n"/>
      <c r="H126" s="58" t="n"/>
      <c r="I126" s="58" t="n"/>
      <c r="J126" s="58" t="n"/>
      <c r="K126" s="58" t="n"/>
      <c r="L126" s="58" t="n"/>
      <c r="M126" s="56">
        <f>N126-SUM(C126:L126)</f>
        <v/>
      </c>
      <c r="N126" s="59" t="n"/>
      <c r="O126" s="58" t="n"/>
      <c r="P126" s="58" t="n"/>
      <c r="Q126" s="58" t="n"/>
      <c r="R126" s="58" t="n"/>
      <c r="S126" s="58" t="n"/>
      <c r="T126" s="58" t="n"/>
      <c r="U126" s="58" t="n"/>
      <c r="V126" s="58" t="n"/>
      <c r="W126" s="58" t="n"/>
      <c r="X126" s="58" t="n"/>
    </row>
    <row r="127">
      <c r="A127" s="67" t="n">
        <v>46206</v>
      </c>
      <c r="B127" s="55" t="inlineStr">
        <is>
          <t>N7</t>
        </is>
      </c>
      <c r="C127" s="58" t="n"/>
      <c r="D127" s="58" t="n"/>
      <c r="E127" s="58" t="n"/>
      <c r="F127" s="58" t="n"/>
      <c r="G127" s="58" t="n"/>
      <c r="H127" s="58" t="n"/>
      <c r="I127" s="58" t="n"/>
      <c r="J127" s="58" t="n"/>
      <c r="K127" s="58" t="n"/>
      <c r="L127" s="58" t="n"/>
      <c r="M127" s="56">
        <f>N127-SUM(C127:L127)</f>
        <v/>
      </c>
      <c r="N127" s="59" t="n"/>
      <c r="O127" s="58" t="n"/>
      <c r="P127" s="58" t="n"/>
      <c r="Q127" s="58" t="n"/>
      <c r="R127" s="58" t="n"/>
      <c r="S127" s="58" t="n"/>
      <c r="T127" s="58" t="n"/>
      <c r="U127" s="58" t="n"/>
      <c r="V127" s="58" t="n"/>
      <c r="W127" s="58" t="n"/>
      <c r="X127" s="58" t="n"/>
    </row>
    <row r="128">
      <c r="A128" s="67" t="n">
        <v>46207</v>
      </c>
      <c r="B128" s="55" t="inlineStr">
        <is>
          <t>N7</t>
        </is>
      </c>
      <c r="C128" s="58" t="n"/>
      <c r="D128" s="58" t="n"/>
      <c r="E128" s="58" t="n"/>
      <c r="F128" s="58" t="n"/>
      <c r="G128" s="58" t="n"/>
      <c r="H128" s="58" t="n"/>
      <c r="I128" s="58" t="n"/>
      <c r="J128" s="58" t="n"/>
      <c r="K128" s="58" t="n"/>
      <c r="L128" s="58" t="n"/>
      <c r="M128" s="56">
        <f>N128-SUM(C128:L128)</f>
        <v/>
      </c>
      <c r="N128" s="59" t="n"/>
      <c r="O128" s="58" t="n"/>
      <c r="P128" s="58" t="n"/>
      <c r="Q128" s="58" t="n"/>
      <c r="R128" s="58" t="n"/>
      <c r="S128" s="58" t="n"/>
      <c r="T128" s="58" t="n"/>
      <c r="U128" s="58" t="n"/>
      <c r="V128" s="58" t="n"/>
      <c r="W128" s="58" t="n"/>
      <c r="X128" s="58" t="n"/>
    </row>
    <row r="129">
      <c r="A129" s="67" t="n">
        <v>46208</v>
      </c>
      <c r="B129" s="55" t="inlineStr">
        <is>
          <t>N7</t>
        </is>
      </c>
      <c r="C129" s="58" t="n"/>
      <c r="D129" s="58" t="n"/>
      <c r="E129" s="58" t="n"/>
      <c r="F129" s="58" t="n"/>
      <c r="G129" s="58" t="n"/>
      <c r="H129" s="58" t="n"/>
      <c r="I129" s="58" t="n"/>
      <c r="J129" s="58" t="n"/>
      <c r="K129" s="58" t="n"/>
      <c r="L129" s="58" t="n"/>
      <c r="M129" s="56">
        <f>N129-SUM(C129:L129)</f>
        <v/>
      </c>
      <c r="N129" s="59" t="n"/>
      <c r="O129" s="58" t="n"/>
      <c r="P129" s="58" t="n"/>
      <c r="Q129" s="58" t="n"/>
      <c r="R129" s="58" t="n"/>
      <c r="S129" s="58" t="n"/>
      <c r="T129" s="58" t="n"/>
      <c r="U129" s="58" t="n"/>
      <c r="V129" s="58" t="n"/>
      <c r="W129" s="58" t="n"/>
      <c r="X129" s="58" t="n"/>
    </row>
    <row r="130">
      <c r="A130" s="67" t="n">
        <v>46209</v>
      </c>
      <c r="B130" s="55" t="inlineStr">
        <is>
          <t>N7</t>
        </is>
      </c>
      <c r="C130" s="58" t="n"/>
      <c r="D130" s="58" t="n"/>
      <c r="E130" s="58" t="n"/>
      <c r="F130" s="58" t="n"/>
      <c r="G130" s="58" t="n"/>
      <c r="H130" s="58" t="n"/>
      <c r="I130" s="58" t="n"/>
      <c r="J130" s="58" t="n"/>
      <c r="K130" s="58" t="n"/>
      <c r="L130" s="58" t="n"/>
      <c r="M130" s="56">
        <f>N130-SUM(C130:L130)</f>
        <v/>
      </c>
      <c r="N130" s="59" t="n"/>
      <c r="O130" s="58" t="n"/>
      <c r="P130" s="58" t="n"/>
      <c r="Q130" s="58" t="n"/>
      <c r="R130" s="58" t="n"/>
      <c r="S130" s="58" t="n"/>
      <c r="T130" s="58" t="n"/>
      <c r="U130" s="58" t="n"/>
      <c r="V130" s="58" t="n"/>
      <c r="W130" s="58" t="n"/>
      <c r="X130" s="58" t="n"/>
    </row>
    <row r="131">
      <c r="A131" s="67" t="n">
        <v>46210</v>
      </c>
      <c r="B131" s="55" t="inlineStr">
        <is>
          <t>N7</t>
        </is>
      </c>
      <c r="C131" s="58" t="n"/>
      <c r="D131" s="58" t="n"/>
      <c r="E131" s="58" t="n"/>
      <c r="F131" s="58" t="n"/>
      <c r="G131" s="58" t="n"/>
      <c r="H131" s="58" t="n"/>
      <c r="I131" s="58" t="n"/>
      <c r="J131" s="58" t="n"/>
      <c r="K131" s="58" t="n"/>
      <c r="L131" s="58" t="n"/>
      <c r="M131" s="56">
        <f>N131-SUM(C131:L131)</f>
        <v/>
      </c>
      <c r="N131" s="59" t="n"/>
      <c r="O131" s="58" t="n"/>
      <c r="P131" s="58" t="n"/>
      <c r="Q131" s="58" t="n"/>
      <c r="R131" s="58" t="n"/>
      <c r="S131" s="58" t="n"/>
      <c r="T131" s="58" t="n"/>
      <c r="U131" s="58" t="n"/>
      <c r="V131" s="58" t="n"/>
      <c r="W131" s="58" t="n"/>
      <c r="X131" s="58" t="n"/>
    </row>
    <row r="132">
      <c r="A132" s="67" t="n">
        <v>46211</v>
      </c>
      <c r="B132" s="55" t="inlineStr">
        <is>
          <t>N7</t>
        </is>
      </c>
      <c r="C132" s="58" t="n"/>
      <c r="D132" s="58" t="n"/>
      <c r="E132" s="58" t="n"/>
      <c r="F132" s="58" t="n"/>
      <c r="G132" s="58" t="n"/>
      <c r="H132" s="58" t="n"/>
      <c r="I132" s="58" t="n"/>
      <c r="J132" s="58" t="n"/>
      <c r="K132" s="58" t="n"/>
      <c r="L132" s="58" t="n"/>
      <c r="M132" s="56">
        <f>N132-SUM(C132:L132)</f>
        <v/>
      </c>
      <c r="N132" s="59" t="n"/>
      <c r="O132" s="58" t="n"/>
      <c r="P132" s="58" t="n"/>
      <c r="Q132" s="58" t="n"/>
      <c r="R132" s="58" t="n"/>
      <c r="S132" s="58" t="n"/>
      <c r="T132" s="58" t="n"/>
      <c r="U132" s="58" t="n"/>
      <c r="V132" s="58" t="n"/>
      <c r="W132" s="58" t="n"/>
      <c r="X132" s="58" t="n"/>
    </row>
    <row r="133">
      <c r="A133" s="67" t="n">
        <v>46212</v>
      </c>
      <c r="B133" s="55" t="inlineStr">
        <is>
          <t>N7</t>
        </is>
      </c>
      <c r="C133" s="58" t="n"/>
      <c r="D133" s="58" t="n"/>
      <c r="E133" s="58" t="n"/>
      <c r="F133" s="58" t="n"/>
      <c r="G133" s="58" t="n"/>
      <c r="H133" s="58" t="n"/>
      <c r="I133" s="58" t="n"/>
      <c r="J133" s="58" t="n"/>
      <c r="K133" s="58" t="n"/>
      <c r="L133" s="58" t="n"/>
      <c r="M133" s="56">
        <f>N133-SUM(C133:L133)</f>
        <v/>
      </c>
      <c r="N133" s="59" t="n"/>
      <c r="O133" s="58" t="n"/>
      <c r="P133" s="58" t="n"/>
      <c r="Q133" s="58" t="n"/>
      <c r="R133" s="58" t="n"/>
      <c r="S133" s="58" t="n"/>
      <c r="T133" s="58" t="n"/>
      <c r="U133" s="58" t="n"/>
      <c r="V133" s="58" t="n"/>
      <c r="W133" s="58" t="n"/>
      <c r="X133" s="58" t="n"/>
    </row>
    <row r="134">
      <c r="A134" s="67" t="n">
        <v>46213</v>
      </c>
      <c r="B134" s="55" t="inlineStr">
        <is>
          <t>N7</t>
        </is>
      </c>
      <c r="C134" s="58" t="n"/>
      <c r="D134" s="58" t="n"/>
      <c r="E134" s="58" t="n"/>
      <c r="F134" s="58" t="n"/>
      <c r="G134" s="58" t="n"/>
      <c r="H134" s="58" t="n"/>
      <c r="I134" s="58" t="n"/>
      <c r="J134" s="58" t="n"/>
      <c r="K134" s="58" t="n"/>
      <c r="L134" s="58" t="n"/>
      <c r="M134" s="56">
        <f>N134-SUM(C134:L134)</f>
        <v/>
      </c>
      <c r="N134" s="59" t="n"/>
      <c r="O134" s="58" t="n"/>
      <c r="P134" s="58" t="n"/>
      <c r="Q134" s="58" t="n"/>
      <c r="R134" s="58" t="n"/>
      <c r="S134" s="58" t="n"/>
      <c r="T134" s="58" t="n"/>
      <c r="U134" s="58" t="n"/>
      <c r="V134" s="58" t="n"/>
      <c r="W134" s="58" t="n"/>
      <c r="X134" s="58" t="n"/>
    </row>
    <row r="135">
      <c r="A135" s="67" t="n">
        <v>46214</v>
      </c>
      <c r="B135" s="55" t="inlineStr">
        <is>
          <t>N7</t>
        </is>
      </c>
      <c r="C135" s="58" t="n"/>
      <c r="D135" s="58" t="n"/>
      <c r="E135" s="58" t="n"/>
      <c r="F135" s="58" t="n"/>
      <c r="G135" s="58" t="n"/>
      <c r="H135" s="58" t="n"/>
      <c r="I135" s="58" t="n"/>
      <c r="J135" s="58" t="n"/>
      <c r="K135" s="58" t="n"/>
      <c r="L135" s="58" t="n"/>
      <c r="M135" s="56">
        <f>N135-SUM(C135:L135)</f>
        <v/>
      </c>
      <c r="N135" s="59" t="n"/>
      <c r="O135" s="58" t="n"/>
      <c r="P135" s="58" t="n"/>
      <c r="Q135" s="58" t="n"/>
      <c r="R135" s="58" t="n"/>
      <c r="S135" s="58" t="n"/>
      <c r="T135" s="58" t="n"/>
      <c r="U135" s="58" t="n"/>
      <c r="V135" s="58" t="n"/>
      <c r="W135" s="58" t="n"/>
      <c r="X135" s="58" t="n"/>
    </row>
    <row r="136">
      <c r="A136" s="67" t="n">
        <v>46215</v>
      </c>
      <c r="B136" s="55" t="inlineStr">
        <is>
          <t>N7</t>
        </is>
      </c>
      <c r="C136" s="58" t="n"/>
      <c r="D136" s="58" t="n"/>
      <c r="E136" s="58" t="n"/>
      <c r="F136" s="58" t="n"/>
      <c r="G136" s="58" t="n"/>
      <c r="H136" s="58" t="n"/>
      <c r="I136" s="58" t="n"/>
      <c r="J136" s="58" t="n"/>
      <c r="K136" s="58" t="n"/>
      <c r="L136" s="58" t="n"/>
      <c r="M136" s="56">
        <f>N136-SUM(C136:L136)</f>
        <v/>
      </c>
      <c r="N136" s="59" t="n"/>
      <c r="O136" s="58" t="n"/>
      <c r="P136" s="58" t="n"/>
      <c r="Q136" s="58" t="n"/>
      <c r="R136" s="58" t="n"/>
      <c r="S136" s="58" t="n"/>
      <c r="T136" s="58" t="n"/>
      <c r="U136" s="58" t="n"/>
      <c r="V136" s="58" t="n"/>
      <c r="W136" s="58" t="n"/>
      <c r="X136" s="58" t="n"/>
    </row>
    <row r="137">
      <c r="A137" s="67" t="n">
        <v>46216</v>
      </c>
      <c r="B137" s="55" t="inlineStr">
        <is>
          <t>N7</t>
        </is>
      </c>
      <c r="C137" s="58" t="n"/>
      <c r="D137" s="58" t="n"/>
      <c r="E137" s="58" t="n"/>
      <c r="F137" s="58" t="n"/>
      <c r="G137" s="58" t="n"/>
      <c r="H137" s="58" t="n"/>
      <c r="I137" s="58" t="n"/>
      <c r="J137" s="58" t="n"/>
      <c r="K137" s="58" t="n"/>
      <c r="L137" s="58" t="n"/>
      <c r="M137" s="56">
        <f>N137-SUM(C137:L137)</f>
        <v/>
      </c>
      <c r="N137" s="59" t="n"/>
      <c r="O137" s="58" t="n"/>
      <c r="P137" s="58" t="n"/>
      <c r="Q137" s="58" t="n"/>
      <c r="R137" s="58" t="n"/>
      <c r="S137" s="58" t="n"/>
      <c r="T137" s="58" t="n"/>
      <c r="U137" s="58" t="n"/>
      <c r="V137" s="58" t="n"/>
      <c r="W137" s="58" t="n"/>
      <c r="X137" s="58" t="n"/>
    </row>
    <row r="138">
      <c r="A138" s="67" t="n">
        <v>46217</v>
      </c>
      <c r="B138" s="55" t="inlineStr">
        <is>
          <t>N7</t>
        </is>
      </c>
      <c r="C138" s="58" t="n"/>
      <c r="D138" s="58" t="n"/>
      <c r="E138" s="58" t="n"/>
      <c r="F138" s="58" t="n"/>
      <c r="G138" s="58" t="n"/>
      <c r="H138" s="58" t="n"/>
      <c r="I138" s="58" t="n"/>
      <c r="J138" s="58" t="n"/>
      <c r="K138" s="58" t="n"/>
      <c r="L138" s="58" t="n"/>
      <c r="M138" s="56">
        <f>N138-SUM(C138:L138)</f>
        <v/>
      </c>
      <c r="N138" s="59" t="n"/>
      <c r="O138" s="58" t="n"/>
      <c r="P138" s="58" t="n"/>
      <c r="Q138" s="58" t="n"/>
      <c r="R138" s="58" t="n"/>
      <c r="S138" s="58" t="n"/>
      <c r="T138" s="58" t="n"/>
      <c r="U138" s="58" t="n"/>
      <c r="V138" s="58" t="n"/>
      <c r="W138" s="58" t="n"/>
      <c r="X138" s="58" t="n"/>
    </row>
    <row r="139">
      <c r="A139" s="67" t="n">
        <v>46218</v>
      </c>
      <c r="B139" s="55" t="inlineStr">
        <is>
          <t>N7</t>
        </is>
      </c>
      <c r="C139" s="58" t="n"/>
      <c r="D139" s="58" t="n"/>
      <c r="E139" s="58" t="n"/>
      <c r="F139" s="58" t="n"/>
      <c r="G139" s="58" t="n"/>
      <c r="H139" s="58" t="n"/>
      <c r="I139" s="58" t="n"/>
      <c r="J139" s="58" t="n"/>
      <c r="K139" s="58" t="n"/>
      <c r="L139" s="58" t="n"/>
      <c r="M139" s="56">
        <f>N139-SUM(C139:L139)</f>
        <v/>
      </c>
      <c r="N139" s="59" t="n"/>
      <c r="O139" s="58" t="n"/>
      <c r="P139" s="58" t="n"/>
      <c r="Q139" s="58" t="n"/>
      <c r="R139" s="58" t="n"/>
      <c r="S139" s="58" t="n"/>
      <c r="T139" s="58" t="n"/>
      <c r="U139" s="58" t="n"/>
      <c r="V139" s="58" t="n"/>
      <c r="W139" s="58" t="n"/>
      <c r="X139" s="58" t="n"/>
    </row>
    <row r="140">
      <c r="A140" s="67" t="n">
        <v>46219</v>
      </c>
      <c r="B140" s="55" t="inlineStr">
        <is>
          <t>N7</t>
        </is>
      </c>
      <c r="C140" s="58" t="n"/>
      <c r="D140" s="58" t="n"/>
      <c r="E140" s="58" t="n"/>
      <c r="F140" s="58" t="n"/>
      <c r="G140" s="58" t="n"/>
      <c r="H140" s="58" t="n"/>
      <c r="I140" s="58" t="n"/>
      <c r="J140" s="58" t="n"/>
      <c r="K140" s="58" t="n"/>
      <c r="L140" s="58" t="n"/>
      <c r="M140" s="56">
        <f>N140-SUM(C140:L140)</f>
        <v/>
      </c>
      <c r="N140" s="59" t="n"/>
      <c r="O140" s="58" t="n"/>
      <c r="P140" s="58" t="n"/>
      <c r="Q140" s="58" t="n"/>
      <c r="R140" s="58" t="n"/>
      <c r="S140" s="58" t="n"/>
      <c r="T140" s="58" t="n"/>
      <c r="U140" s="58" t="n"/>
      <c r="V140" s="58" t="n"/>
      <c r="W140" s="58" t="n"/>
      <c r="X140" s="58" t="n"/>
    </row>
    <row r="141">
      <c r="A141" s="67" t="n">
        <v>46220</v>
      </c>
      <c r="B141" s="55" t="inlineStr">
        <is>
          <t>N7</t>
        </is>
      </c>
      <c r="C141" s="58" t="n"/>
      <c r="D141" s="58" t="n"/>
      <c r="E141" s="58" t="n"/>
      <c r="F141" s="58" t="n"/>
      <c r="G141" s="58" t="n"/>
      <c r="H141" s="58" t="n"/>
      <c r="I141" s="58" t="n"/>
      <c r="J141" s="58" t="n"/>
      <c r="K141" s="58" t="n"/>
      <c r="L141" s="58" t="n"/>
      <c r="M141" s="56">
        <f>N141-SUM(C141:L141)</f>
        <v/>
      </c>
      <c r="N141" s="59" t="n"/>
      <c r="O141" s="58" t="n"/>
      <c r="P141" s="58" t="n"/>
      <c r="Q141" s="58" t="n"/>
      <c r="R141" s="58" t="n"/>
      <c r="S141" s="58" t="n"/>
      <c r="T141" s="58" t="n"/>
      <c r="U141" s="58" t="n"/>
      <c r="V141" s="58" t="n"/>
      <c r="W141" s="58" t="n"/>
      <c r="X141" s="58" t="n"/>
    </row>
    <row r="142">
      <c r="A142" s="67" t="n">
        <v>46221</v>
      </c>
      <c r="B142" s="55" t="inlineStr">
        <is>
          <t>N7</t>
        </is>
      </c>
      <c r="C142" s="58" t="n"/>
      <c r="D142" s="58" t="n"/>
      <c r="E142" s="58" t="n"/>
      <c r="F142" s="58" t="n"/>
      <c r="G142" s="58" t="n"/>
      <c r="H142" s="58" t="n"/>
      <c r="I142" s="58" t="n"/>
      <c r="J142" s="58" t="n"/>
      <c r="K142" s="58" t="n"/>
      <c r="L142" s="58" t="n"/>
      <c r="M142" s="56">
        <f>N142-SUM(C142:L142)</f>
        <v/>
      </c>
      <c r="N142" s="59" t="n"/>
      <c r="O142" s="58" t="n"/>
      <c r="P142" s="58" t="n"/>
      <c r="Q142" s="58" t="n"/>
      <c r="R142" s="58" t="n"/>
      <c r="S142" s="58" t="n"/>
      <c r="T142" s="58" t="n"/>
      <c r="U142" s="58" t="n"/>
      <c r="V142" s="58" t="n"/>
      <c r="W142" s="58" t="n"/>
      <c r="X142" s="58" t="n"/>
    </row>
    <row r="143">
      <c r="A143" s="67" t="n">
        <v>46222</v>
      </c>
      <c r="B143" s="55" t="inlineStr">
        <is>
          <t>N7</t>
        </is>
      </c>
      <c r="C143" s="58" t="n"/>
      <c r="D143" s="58" t="n"/>
      <c r="E143" s="58" t="n"/>
      <c r="F143" s="58" t="n"/>
      <c r="G143" s="58" t="n"/>
      <c r="H143" s="58" t="n"/>
      <c r="I143" s="58" t="n"/>
      <c r="J143" s="58" t="n"/>
      <c r="K143" s="58" t="n"/>
      <c r="L143" s="58" t="n"/>
      <c r="M143" s="56">
        <f>N143-SUM(C143:L143)</f>
        <v/>
      </c>
      <c r="N143" s="59" t="n"/>
      <c r="O143" s="58" t="n"/>
      <c r="P143" s="58" t="n"/>
      <c r="Q143" s="58" t="n"/>
      <c r="R143" s="58" t="n"/>
      <c r="S143" s="58" t="n"/>
      <c r="T143" s="58" t="n"/>
      <c r="U143" s="58" t="n"/>
      <c r="V143" s="58" t="n"/>
      <c r="W143" s="58" t="n"/>
      <c r="X143" s="58" t="n"/>
    </row>
    <row r="144">
      <c r="A144" s="67" t="n">
        <v>46223</v>
      </c>
      <c r="B144" s="55" t="inlineStr">
        <is>
          <t>N7</t>
        </is>
      </c>
      <c r="C144" s="58" t="n"/>
      <c r="D144" s="58" t="n"/>
      <c r="E144" s="58" t="n"/>
      <c r="F144" s="58" t="n"/>
      <c r="G144" s="58" t="n"/>
      <c r="H144" s="58" t="n"/>
      <c r="I144" s="58" t="n"/>
      <c r="J144" s="58" t="n"/>
      <c r="K144" s="58" t="n"/>
      <c r="L144" s="58" t="n"/>
      <c r="M144" s="56">
        <f>N144-SUM(C144:L144)</f>
        <v/>
      </c>
      <c r="N144" s="59" t="n"/>
      <c r="O144" s="58" t="n"/>
      <c r="P144" s="58" t="n"/>
      <c r="Q144" s="58" t="n"/>
      <c r="R144" s="58" t="n"/>
      <c r="S144" s="58" t="n"/>
      <c r="T144" s="58" t="n"/>
      <c r="U144" s="58" t="n"/>
      <c r="V144" s="58" t="n"/>
      <c r="W144" s="58" t="n"/>
      <c r="X144" s="58" t="n"/>
    </row>
    <row r="145">
      <c r="A145" s="67" t="n">
        <v>46224</v>
      </c>
      <c r="B145" s="55" t="inlineStr">
        <is>
          <t>N7</t>
        </is>
      </c>
      <c r="C145" s="58" t="n"/>
      <c r="D145" s="58" t="n"/>
      <c r="E145" s="58" t="n"/>
      <c r="F145" s="58" t="n"/>
      <c r="G145" s="58" t="n"/>
      <c r="H145" s="58" t="n"/>
      <c r="I145" s="58" t="n"/>
      <c r="J145" s="58" t="n"/>
      <c r="K145" s="58" t="n"/>
      <c r="L145" s="58" t="n"/>
      <c r="M145" s="56">
        <f>N145-SUM(C145:L145)</f>
        <v/>
      </c>
      <c r="N145" s="59" t="n"/>
      <c r="O145" s="58" t="n"/>
      <c r="P145" s="58" t="n"/>
      <c r="Q145" s="58" t="n"/>
      <c r="R145" s="58" t="n"/>
      <c r="S145" s="58" t="n"/>
      <c r="T145" s="58" t="n"/>
      <c r="U145" s="58" t="n"/>
      <c r="V145" s="58" t="n"/>
      <c r="W145" s="58" t="n"/>
      <c r="X145" s="58" t="n"/>
    </row>
    <row r="146">
      <c r="A146" s="67" t="n">
        <v>46225</v>
      </c>
      <c r="B146" s="55" t="inlineStr">
        <is>
          <t>N7</t>
        </is>
      </c>
      <c r="C146" s="58" t="n"/>
      <c r="D146" s="58" t="n"/>
      <c r="E146" s="58" t="n"/>
      <c r="F146" s="58" t="n"/>
      <c r="G146" s="58" t="n"/>
      <c r="H146" s="58" t="n"/>
      <c r="I146" s="58" t="n"/>
      <c r="J146" s="58" t="n"/>
      <c r="K146" s="58" t="n"/>
      <c r="L146" s="58" t="n"/>
      <c r="M146" s="56">
        <f>N146-SUM(C146:L146)</f>
        <v/>
      </c>
      <c r="N146" s="59" t="n"/>
      <c r="O146" s="58" t="n"/>
      <c r="P146" s="58" t="n"/>
      <c r="Q146" s="58" t="n"/>
      <c r="R146" s="58" t="n"/>
      <c r="S146" s="58" t="n"/>
      <c r="T146" s="58" t="n"/>
      <c r="U146" s="58" t="n"/>
      <c r="V146" s="58" t="n"/>
      <c r="W146" s="58" t="n"/>
      <c r="X146" s="58" t="n"/>
    </row>
    <row r="147">
      <c r="A147" s="67" t="n">
        <v>46226</v>
      </c>
      <c r="B147" s="55" t="inlineStr">
        <is>
          <t>N7</t>
        </is>
      </c>
      <c r="C147" s="58" t="n"/>
      <c r="D147" s="58" t="n"/>
      <c r="E147" s="58" t="n"/>
      <c r="F147" s="58" t="n"/>
      <c r="G147" s="58" t="n"/>
      <c r="H147" s="58" t="n"/>
      <c r="I147" s="58" t="n"/>
      <c r="J147" s="58" t="n"/>
      <c r="K147" s="58" t="n"/>
      <c r="L147" s="58" t="n"/>
      <c r="M147" s="56">
        <f>N147-SUM(C147:L147)</f>
        <v/>
      </c>
      <c r="N147" s="59" t="n"/>
      <c r="O147" s="58" t="n"/>
      <c r="P147" s="58" t="n"/>
      <c r="Q147" s="58" t="n"/>
      <c r="R147" s="58" t="n"/>
      <c r="S147" s="58" t="n"/>
      <c r="T147" s="58" t="n"/>
      <c r="U147" s="58" t="n"/>
      <c r="V147" s="58" t="n"/>
      <c r="W147" s="58" t="n"/>
      <c r="X147" s="58" t="n"/>
    </row>
    <row r="148">
      <c r="A148" s="67" t="n">
        <v>46227</v>
      </c>
      <c r="B148" s="55" t="inlineStr">
        <is>
          <t>N7</t>
        </is>
      </c>
      <c r="C148" s="58" t="n"/>
      <c r="D148" s="58" t="n"/>
      <c r="E148" s="58" t="n"/>
      <c r="F148" s="58" t="n"/>
      <c r="G148" s="58" t="n"/>
      <c r="H148" s="58" t="n"/>
      <c r="I148" s="58" t="n"/>
      <c r="J148" s="58" t="n"/>
      <c r="K148" s="58" t="n"/>
      <c r="L148" s="58" t="n"/>
      <c r="M148" s="56">
        <f>N148-SUM(C148:L148)</f>
        <v/>
      </c>
      <c r="N148" s="59" t="n"/>
      <c r="O148" s="58" t="n"/>
      <c r="P148" s="58" t="n"/>
      <c r="Q148" s="58" t="n"/>
      <c r="R148" s="58" t="n"/>
      <c r="S148" s="58" t="n"/>
      <c r="T148" s="58" t="n"/>
      <c r="U148" s="58" t="n"/>
      <c r="V148" s="58" t="n"/>
      <c r="W148" s="58" t="n"/>
      <c r="X148" s="58" t="n"/>
    </row>
    <row r="149">
      <c r="A149" s="67" t="n">
        <v>46228</v>
      </c>
      <c r="B149" s="55" t="inlineStr">
        <is>
          <t>N7</t>
        </is>
      </c>
      <c r="C149" s="58" t="n"/>
      <c r="D149" s="58" t="n"/>
      <c r="E149" s="58" t="n"/>
      <c r="F149" s="58" t="n"/>
      <c r="G149" s="58" t="n"/>
      <c r="H149" s="58" t="n"/>
      <c r="I149" s="58" t="n"/>
      <c r="J149" s="58" t="n"/>
      <c r="K149" s="58" t="n"/>
      <c r="L149" s="58" t="n"/>
      <c r="M149" s="56">
        <f>N149-SUM(C149:L149)</f>
        <v/>
      </c>
      <c r="N149" s="59" t="n"/>
      <c r="O149" s="58" t="n"/>
      <c r="P149" s="58" t="n"/>
      <c r="Q149" s="58" t="n"/>
      <c r="R149" s="58" t="n"/>
      <c r="S149" s="58" t="n"/>
      <c r="T149" s="58" t="n"/>
      <c r="U149" s="58" t="n"/>
      <c r="V149" s="58" t="n"/>
      <c r="W149" s="58" t="n"/>
      <c r="X149" s="58" t="n"/>
    </row>
    <row r="150">
      <c r="A150" s="67" t="n">
        <v>46229</v>
      </c>
      <c r="B150" s="55" t="inlineStr">
        <is>
          <t>N7</t>
        </is>
      </c>
      <c r="C150" s="58" t="n"/>
      <c r="D150" s="58" t="n"/>
      <c r="E150" s="58" t="n"/>
      <c r="F150" s="58" t="n"/>
      <c r="G150" s="58" t="n"/>
      <c r="H150" s="58" t="n"/>
      <c r="I150" s="58" t="n"/>
      <c r="J150" s="58" t="n"/>
      <c r="K150" s="58" t="n"/>
      <c r="L150" s="58" t="n"/>
      <c r="M150" s="56">
        <f>N150-SUM(C150:L150)</f>
        <v/>
      </c>
      <c r="N150" s="59" t="n"/>
      <c r="O150" s="58" t="n"/>
      <c r="P150" s="58" t="n"/>
      <c r="Q150" s="58" t="n"/>
      <c r="R150" s="58" t="n"/>
      <c r="S150" s="58" t="n"/>
      <c r="T150" s="58" t="n"/>
      <c r="U150" s="58" t="n"/>
      <c r="V150" s="58" t="n"/>
      <c r="W150" s="58" t="n"/>
      <c r="X150" s="58" t="n"/>
    </row>
    <row r="151">
      <c r="A151" s="67" t="n">
        <v>46230</v>
      </c>
      <c r="B151" s="55" t="inlineStr">
        <is>
          <t>N7</t>
        </is>
      </c>
      <c r="C151" s="58" t="n"/>
      <c r="D151" s="58" t="n"/>
      <c r="E151" s="58" t="n"/>
      <c r="F151" s="58" t="n"/>
      <c r="G151" s="58" t="n"/>
      <c r="H151" s="58" t="n"/>
      <c r="I151" s="58" t="n"/>
      <c r="J151" s="58" t="n"/>
      <c r="K151" s="58" t="n"/>
      <c r="L151" s="58" t="n"/>
      <c r="M151" s="56">
        <f>N151-SUM(C151:L151)</f>
        <v/>
      </c>
      <c r="N151" s="59" t="n"/>
      <c r="O151" s="58" t="n"/>
      <c r="P151" s="58" t="n"/>
      <c r="Q151" s="58" t="n"/>
      <c r="R151" s="58" t="n"/>
      <c r="S151" s="58" t="n"/>
      <c r="T151" s="58" t="n"/>
      <c r="U151" s="58" t="n"/>
      <c r="V151" s="58" t="n"/>
      <c r="W151" s="58" t="n"/>
      <c r="X151" s="58" t="n"/>
    </row>
    <row r="152">
      <c r="A152" s="67" t="n">
        <v>46231</v>
      </c>
      <c r="B152" s="55" t="inlineStr">
        <is>
          <t>N7</t>
        </is>
      </c>
      <c r="C152" s="58" t="n"/>
      <c r="D152" s="58" t="n"/>
      <c r="E152" s="58" t="n"/>
      <c r="F152" s="58" t="n"/>
      <c r="G152" s="58" t="n"/>
      <c r="H152" s="58" t="n"/>
      <c r="I152" s="58" t="n"/>
      <c r="J152" s="58" t="n"/>
      <c r="K152" s="58" t="n"/>
      <c r="L152" s="58" t="n"/>
      <c r="M152" s="56">
        <f>N152-SUM(C152:L152)</f>
        <v/>
      </c>
      <c r="N152" s="59" t="n"/>
      <c r="O152" s="58" t="n"/>
      <c r="P152" s="58" t="n"/>
      <c r="Q152" s="58" t="n"/>
      <c r="R152" s="58" t="n"/>
      <c r="S152" s="58" t="n"/>
      <c r="T152" s="58" t="n"/>
      <c r="U152" s="58" t="n"/>
      <c r="V152" s="58" t="n"/>
      <c r="W152" s="58" t="n"/>
      <c r="X152" s="58" t="n"/>
    </row>
    <row r="153">
      <c r="A153" s="67" t="n">
        <v>46232</v>
      </c>
      <c r="B153" s="55" t="inlineStr">
        <is>
          <t>N7</t>
        </is>
      </c>
      <c r="C153" s="58" t="n"/>
      <c r="D153" s="58" t="n"/>
      <c r="E153" s="58" t="n"/>
      <c r="F153" s="58" t="n"/>
      <c r="G153" s="58" t="n"/>
      <c r="H153" s="58" t="n"/>
      <c r="I153" s="58" t="n"/>
      <c r="J153" s="58" t="n"/>
      <c r="K153" s="58" t="n"/>
      <c r="L153" s="58" t="n"/>
      <c r="M153" s="56">
        <f>N153-SUM(C153:L153)</f>
        <v/>
      </c>
      <c r="N153" s="59" t="n"/>
      <c r="O153" s="58" t="n"/>
      <c r="P153" s="58" t="n"/>
      <c r="Q153" s="58" t="n"/>
      <c r="R153" s="58" t="n"/>
      <c r="S153" s="58" t="n"/>
      <c r="T153" s="58" t="n"/>
      <c r="U153" s="58" t="n"/>
      <c r="V153" s="58" t="n"/>
      <c r="W153" s="58" t="n"/>
      <c r="X153" s="58" t="n"/>
    </row>
    <row r="154">
      <c r="A154" s="67" t="n">
        <v>46233</v>
      </c>
      <c r="B154" s="55" t="inlineStr">
        <is>
          <t>N7</t>
        </is>
      </c>
      <c r="C154" s="58" t="n"/>
      <c r="D154" s="58" t="n"/>
      <c r="E154" s="58" t="n"/>
      <c r="F154" s="58" t="n"/>
      <c r="G154" s="58" t="n"/>
      <c r="H154" s="58" t="n"/>
      <c r="I154" s="58" t="n"/>
      <c r="J154" s="58" t="n"/>
      <c r="K154" s="58" t="n"/>
      <c r="L154" s="58" t="n"/>
      <c r="M154" s="56">
        <f>N154-SUM(C154:L154)</f>
        <v/>
      </c>
      <c r="N154" s="59" t="n"/>
      <c r="O154" s="58" t="n"/>
      <c r="P154" s="58" t="n"/>
      <c r="Q154" s="58" t="n"/>
      <c r="R154" s="58" t="n"/>
      <c r="S154" s="58" t="n"/>
      <c r="T154" s="58" t="n"/>
      <c r="U154" s="58" t="n"/>
      <c r="V154" s="58" t="n"/>
      <c r="W154" s="58" t="n"/>
      <c r="X154" s="58" t="n"/>
    </row>
    <row r="155">
      <c r="A155" s="67" t="n">
        <v>46234</v>
      </c>
      <c r="B155" s="55" t="inlineStr">
        <is>
          <t>N7</t>
        </is>
      </c>
      <c r="C155" s="58" t="n"/>
      <c r="D155" s="58" t="n"/>
      <c r="E155" s="58" t="n"/>
      <c r="F155" s="58" t="n"/>
      <c r="G155" s="58" t="n"/>
      <c r="H155" s="58" t="n"/>
      <c r="I155" s="58" t="n"/>
      <c r="J155" s="58" t="n"/>
      <c r="K155" s="58" t="n"/>
      <c r="L155" s="58" t="n"/>
      <c r="M155" s="56">
        <f>N155-SUM(C155:L155)</f>
        <v/>
      </c>
      <c r="N155" s="59" t="n"/>
      <c r="O155" s="58" t="n"/>
      <c r="P155" s="58" t="n"/>
      <c r="Q155" s="58" t="n"/>
      <c r="R155" s="58" t="n"/>
      <c r="S155" s="58" t="n"/>
      <c r="T155" s="58" t="n"/>
      <c r="U155" s="58" t="n"/>
      <c r="V155" s="58" t="n"/>
      <c r="W155" s="58" t="n"/>
      <c r="X155" s="58" t="n"/>
    </row>
    <row r="156">
      <c r="A156" s="67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7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7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7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7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7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7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7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7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7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7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7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7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7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7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7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7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7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7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7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7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7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7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7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7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7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7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7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7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7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7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7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7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7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7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7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7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7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7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7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7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7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7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7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7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7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7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7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7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7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7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7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7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7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7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7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7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7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7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7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7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7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7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7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7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7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7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7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7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7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7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7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7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7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7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7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7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7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7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7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7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7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7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7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7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7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7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7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7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7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7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7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7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7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7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7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7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7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7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7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7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7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7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7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7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7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7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7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7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7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7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7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7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7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7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7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7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7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7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7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7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7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7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7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7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7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7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7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7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7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7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7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7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7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7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7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7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7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7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7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7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7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7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7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7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7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7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7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7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7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7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7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7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7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7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7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7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7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7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7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7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7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7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7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7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7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7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7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7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7" t="n">
        <v>46098</v>
      </c>
      <c r="B325" s="55" t="inlineStr">
        <is>
          <t>N6</t>
        </is>
      </c>
      <c r="C325" s="61" t="n">
        <v>162</v>
      </c>
      <c r="D325" s="61" t="n">
        <v>209</v>
      </c>
      <c r="E325" s="61" t="n">
        <v>186</v>
      </c>
      <c r="F325" s="61" t="n">
        <v>371</v>
      </c>
      <c r="G325" s="61" t="n">
        <v>255</v>
      </c>
      <c r="H325" s="61" t="n">
        <v>279</v>
      </c>
      <c r="I325" s="61" t="n">
        <v>209</v>
      </c>
      <c r="J325" s="61" t="n">
        <v>186</v>
      </c>
      <c r="K325" s="61" t="n">
        <v>302</v>
      </c>
      <c r="L325" s="56" t="n">
        <v>209</v>
      </c>
      <c r="M325" s="56">
        <f>N325-SUM(C325:L325)</f>
        <v/>
      </c>
      <c r="N325" s="57" t="n">
        <v>3243</v>
      </c>
      <c r="O325" s="61" t="n">
        <v>82</v>
      </c>
      <c r="P325" s="61" t="n">
        <v>2</v>
      </c>
      <c r="Q325" s="61" t="n">
        <v>288</v>
      </c>
      <c r="R325" s="61" t="n">
        <v>1000</v>
      </c>
      <c r="S325" s="61" t="n">
        <v>250</v>
      </c>
      <c r="T325" s="61" t="n">
        <v>700</v>
      </c>
      <c r="U325" s="61" t="n">
        <v>0</v>
      </c>
      <c r="V325" s="61" t="n">
        <v>220</v>
      </c>
      <c r="W325" s="61" t="n">
        <v>635</v>
      </c>
      <c r="X325" s="61" t="n">
        <v>66</v>
      </c>
    </row>
    <row r="326">
      <c r="A326" s="67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7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7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7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7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7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7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7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7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7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7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7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7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7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7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7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7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7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7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7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7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7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7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7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7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7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7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7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7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7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7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7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7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7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7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7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7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7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7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7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7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7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7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7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7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2" t="n">
        <v>306</v>
      </c>
      <c r="P370" s="62" t="n">
        <v>2</v>
      </c>
      <c r="Q370" s="62" t="n">
        <v>796</v>
      </c>
      <c r="R370" s="62" t="n">
        <v>769</v>
      </c>
      <c r="S370" s="62" t="n">
        <v>550</v>
      </c>
      <c r="T370" s="62" t="n">
        <v>600</v>
      </c>
      <c r="U370" s="62" t="n">
        <v>688</v>
      </c>
      <c r="V370" s="62" t="n">
        <v>644</v>
      </c>
      <c r="W370" s="62" t="n">
        <v>1099</v>
      </c>
      <c r="X370" s="62" t="n">
        <v>0</v>
      </c>
    </row>
    <row r="371">
      <c r="A371" s="67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2" t="n">
        <v>306</v>
      </c>
      <c r="P371" s="62" t="n">
        <v>2</v>
      </c>
      <c r="Q371" s="62" t="n">
        <v>796</v>
      </c>
      <c r="R371" s="62" t="n">
        <v>769</v>
      </c>
      <c r="S371" s="62" t="n">
        <v>500</v>
      </c>
      <c r="T371" s="62" t="n">
        <v>600</v>
      </c>
      <c r="U371" s="62" t="n">
        <v>687</v>
      </c>
      <c r="V371" s="62" t="n">
        <v>644</v>
      </c>
      <c r="W371" s="62" t="n">
        <v>1053</v>
      </c>
      <c r="X371" s="62" t="n">
        <v>0</v>
      </c>
    </row>
    <row r="372">
      <c r="A372" s="67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2" t="n">
        <v>306</v>
      </c>
      <c r="P372" s="62" t="n">
        <v>2</v>
      </c>
      <c r="Q372" s="62" t="n">
        <v>796</v>
      </c>
      <c r="R372" s="62" t="n">
        <v>769</v>
      </c>
      <c r="S372" s="62" t="n">
        <v>500</v>
      </c>
      <c r="T372" s="62" t="n">
        <v>600</v>
      </c>
      <c r="U372" s="62" t="n">
        <v>680</v>
      </c>
      <c r="V372" s="62" t="n">
        <v>644</v>
      </c>
      <c r="W372" s="62" t="n">
        <v>1070</v>
      </c>
      <c r="X372" s="62" t="n">
        <v>0</v>
      </c>
    </row>
    <row r="373">
      <c r="A373" s="67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2" t="n">
        <v>306</v>
      </c>
      <c r="P373" s="62" t="n">
        <v>2</v>
      </c>
      <c r="Q373" s="62" t="n">
        <v>796</v>
      </c>
      <c r="R373" s="62" t="n">
        <v>769</v>
      </c>
      <c r="S373" s="62" t="n">
        <v>500</v>
      </c>
      <c r="T373" s="62" t="n">
        <v>600</v>
      </c>
      <c r="U373" s="62" t="n">
        <v>572</v>
      </c>
      <c r="V373" s="62" t="n">
        <v>644</v>
      </c>
      <c r="W373" s="62" t="n">
        <v>1046</v>
      </c>
      <c r="X373" s="62" t="n">
        <v>0</v>
      </c>
    </row>
    <row r="374">
      <c r="A374" s="67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2" t="n">
        <v>306</v>
      </c>
      <c r="P374" s="62" t="n">
        <v>2</v>
      </c>
      <c r="Q374" s="62" t="n">
        <v>796</v>
      </c>
      <c r="R374" s="62" t="n">
        <v>769</v>
      </c>
      <c r="S374" s="62" t="n">
        <v>500</v>
      </c>
      <c r="T374" s="62" t="n">
        <v>600</v>
      </c>
      <c r="U374" s="62" t="n">
        <v>348</v>
      </c>
      <c r="V374" s="62" t="n">
        <v>644</v>
      </c>
      <c r="W374" s="62" t="n">
        <v>976</v>
      </c>
      <c r="X374" s="62" t="n">
        <v>0</v>
      </c>
    </row>
    <row r="375">
      <c r="A375" s="67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2" t="n">
        <v>156</v>
      </c>
      <c r="P375" s="62" t="n">
        <v>1</v>
      </c>
      <c r="Q375" s="62" t="n">
        <v>530</v>
      </c>
      <c r="R375" s="62" t="n">
        <v>769</v>
      </c>
      <c r="S375" s="62" t="n">
        <v>350</v>
      </c>
      <c r="T375" s="62" t="n">
        <v>600</v>
      </c>
      <c r="U375" s="62" t="n">
        <v>21</v>
      </c>
      <c r="V375" s="62" t="n">
        <v>644</v>
      </c>
      <c r="W375" s="62" t="n">
        <v>924</v>
      </c>
      <c r="X375" s="62" t="n">
        <v>84</v>
      </c>
    </row>
    <row r="376">
      <c r="A376" s="67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2" t="n">
        <v>156</v>
      </c>
      <c r="P376" s="62" t="n">
        <v>1</v>
      </c>
      <c r="Q376" s="62" t="n">
        <v>530</v>
      </c>
      <c r="R376" s="62" t="n">
        <v>769</v>
      </c>
      <c r="S376" s="62" t="n">
        <v>350</v>
      </c>
      <c r="T376" s="62" t="n">
        <v>650</v>
      </c>
      <c r="U376" s="62" t="n">
        <v>0</v>
      </c>
      <c r="V376" s="62" t="n">
        <v>644</v>
      </c>
      <c r="W376" s="62" t="n">
        <v>898</v>
      </c>
      <c r="X376" s="62" t="n">
        <v>84</v>
      </c>
    </row>
    <row r="377">
      <c r="A377" s="67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2" t="n">
        <v>156</v>
      </c>
      <c r="P377" s="62" t="n">
        <v>1</v>
      </c>
      <c r="Q377" s="62" t="n">
        <v>530</v>
      </c>
      <c r="R377" s="62" t="n">
        <v>769</v>
      </c>
      <c r="S377" s="62" t="n">
        <v>412</v>
      </c>
      <c r="T377" s="62" t="n">
        <v>650</v>
      </c>
      <c r="U377" s="62" t="n">
        <v>0</v>
      </c>
      <c r="V377" s="62" t="n">
        <v>644</v>
      </c>
      <c r="W377" s="62" t="n">
        <v>879</v>
      </c>
      <c r="X377" s="62" t="n">
        <v>84</v>
      </c>
    </row>
    <row r="378">
      <c r="A378" s="67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2" t="n">
        <v>156</v>
      </c>
      <c r="P378" s="62" t="n">
        <v>1</v>
      </c>
      <c r="Q378" s="62" t="n">
        <v>530</v>
      </c>
      <c r="R378" s="62" t="n">
        <v>769</v>
      </c>
      <c r="S378" s="62" t="n">
        <v>456</v>
      </c>
      <c r="T378" s="62" t="n">
        <v>650</v>
      </c>
      <c r="U378" s="62" t="n">
        <v>22</v>
      </c>
      <c r="V378" s="62" t="n">
        <v>644</v>
      </c>
      <c r="W378" s="62" t="n">
        <v>936</v>
      </c>
      <c r="X378" s="62" t="n">
        <v>84</v>
      </c>
    </row>
    <row r="379">
      <c r="A379" s="67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2" t="n">
        <v>225</v>
      </c>
      <c r="P379" s="62" t="n">
        <v>1</v>
      </c>
      <c r="Q379" s="62" t="n">
        <v>796</v>
      </c>
      <c r="R379" s="62" t="n">
        <v>769</v>
      </c>
      <c r="S379" s="62" t="n">
        <v>456</v>
      </c>
      <c r="T379" s="62" t="n">
        <v>650</v>
      </c>
      <c r="U379" s="62" t="n">
        <v>22</v>
      </c>
      <c r="V379" s="62" t="n">
        <v>644</v>
      </c>
      <c r="W379" s="62" t="n">
        <v>938</v>
      </c>
      <c r="X379" s="62" t="n">
        <v>0</v>
      </c>
    </row>
    <row r="380">
      <c r="A380" s="67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2" t="n">
        <v>155</v>
      </c>
      <c r="P380" s="62" t="n">
        <v>1</v>
      </c>
      <c r="Q380" s="62" t="n">
        <v>530</v>
      </c>
      <c r="R380" s="62" t="n">
        <v>769</v>
      </c>
      <c r="S380" s="62" t="n">
        <v>456</v>
      </c>
      <c r="T380" s="62" t="n">
        <v>650</v>
      </c>
      <c r="U380" s="62" t="n">
        <v>15</v>
      </c>
      <c r="V380" s="62" t="n">
        <v>644</v>
      </c>
      <c r="W380" s="62" t="n">
        <v>939</v>
      </c>
      <c r="X380" s="62" t="n">
        <v>84</v>
      </c>
    </row>
    <row r="381">
      <c r="A381" s="67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2" t="n">
        <v>155</v>
      </c>
      <c r="P381" s="62" t="n">
        <v>1</v>
      </c>
      <c r="Q381" s="62" t="n">
        <v>530</v>
      </c>
      <c r="R381" s="62" t="n">
        <v>769</v>
      </c>
      <c r="S381" s="62" t="n">
        <v>456</v>
      </c>
      <c r="T381" s="62" t="n">
        <v>650</v>
      </c>
      <c r="U381" s="62" t="n">
        <v>0</v>
      </c>
      <c r="V381" s="62" t="n">
        <v>644</v>
      </c>
      <c r="W381" s="62" t="n">
        <v>898</v>
      </c>
      <c r="X381" s="62" t="n">
        <v>84</v>
      </c>
    </row>
    <row r="382">
      <c r="A382" s="67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2" t="n">
        <v>155</v>
      </c>
      <c r="P382" s="62" t="n">
        <v>1</v>
      </c>
      <c r="Q382" s="62" t="n">
        <v>530</v>
      </c>
      <c r="R382" s="62" t="n">
        <v>769</v>
      </c>
      <c r="S382" s="62" t="n">
        <v>456</v>
      </c>
      <c r="T382" s="62" t="n">
        <v>750</v>
      </c>
      <c r="U382" s="62" t="n">
        <v>0</v>
      </c>
      <c r="V382" s="62" t="n">
        <v>644</v>
      </c>
      <c r="W382" s="62" t="n">
        <v>900</v>
      </c>
      <c r="X382" s="62" t="n">
        <v>84</v>
      </c>
    </row>
    <row r="383">
      <c r="A383" s="67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2" t="n">
        <v>155</v>
      </c>
      <c r="P383" s="62" t="n">
        <v>1</v>
      </c>
      <c r="Q383" s="62" t="n">
        <v>530</v>
      </c>
      <c r="R383" s="62" t="n">
        <v>769</v>
      </c>
      <c r="S383" s="62" t="n">
        <v>456</v>
      </c>
      <c r="T383" s="62" t="n">
        <v>750</v>
      </c>
      <c r="U383" s="62" t="n">
        <v>29</v>
      </c>
      <c r="V383" s="62" t="n">
        <v>644</v>
      </c>
      <c r="W383" s="62" t="n">
        <v>929</v>
      </c>
      <c r="X383" s="62" t="n">
        <v>83</v>
      </c>
    </row>
    <row r="384">
      <c r="A384" s="67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2" t="n">
        <v>155</v>
      </c>
      <c r="P384" s="62" t="n">
        <v>1</v>
      </c>
      <c r="Q384" s="62" t="n">
        <v>530</v>
      </c>
      <c r="R384" s="62" t="n">
        <v>769</v>
      </c>
      <c r="S384" s="62" t="n">
        <v>456</v>
      </c>
      <c r="T384" s="62" t="n">
        <v>750</v>
      </c>
      <c r="U384" s="62" t="n">
        <v>38</v>
      </c>
      <c r="V384" s="62" t="n">
        <v>644</v>
      </c>
      <c r="W384" s="62" t="n">
        <v>950</v>
      </c>
      <c r="X384" s="62" t="n">
        <v>83</v>
      </c>
    </row>
    <row r="385">
      <c r="A385" s="67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2" t="n">
        <v>225</v>
      </c>
      <c r="P385" s="62" t="n">
        <v>1</v>
      </c>
      <c r="Q385" s="62" t="n">
        <v>796</v>
      </c>
      <c r="R385" s="62" t="n">
        <v>769</v>
      </c>
      <c r="S385" s="62" t="n">
        <v>456</v>
      </c>
      <c r="T385" s="62" t="n">
        <v>750</v>
      </c>
      <c r="U385" s="62" t="n">
        <v>58</v>
      </c>
      <c r="V385" s="62" t="n">
        <v>644</v>
      </c>
      <c r="W385" s="62" t="n">
        <v>1057</v>
      </c>
      <c r="X385" s="62" t="n">
        <v>0</v>
      </c>
    </row>
    <row r="386">
      <c r="A386" s="67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2" t="n">
        <v>225</v>
      </c>
      <c r="P386" s="62" t="n">
        <v>1</v>
      </c>
      <c r="Q386" s="62" t="n">
        <v>796</v>
      </c>
      <c r="R386" s="62" t="n">
        <v>769</v>
      </c>
      <c r="S386" s="62" t="n">
        <v>456</v>
      </c>
      <c r="T386" s="62" t="n">
        <v>750</v>
      </c>
      <c r="U386" s="62" t="n">
        <v>58</v>
      </c>
      <c r="V386" s="62" t="n">
        <v>644</v>
      </c>
      <c r="W386" s="62" t="n">
        <v>1125</v>
      </c>
      <c r="X386" s="62" t="n">
        <v>0</v>
      </c>
    </row>
    <row r="387">
      <c r="A387" s="67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2" t="n">
        <v>155</v>
      </c>
      <c r="P387" s="62" t="n">
        <v>1</v>
      </c>
      <c r="Q387" s="62" t="n">
        <v>530</v>
      </c>
      <c r="R387" s="62" t="n">
        <v>769</v>
      </c>
      <c r="S387" s="62" t="n">
        <v>456</v>
      </c>
      <c r="T387" s="62" t="n">
        <v>750</v>
      </c>
      <c r="U387" s="62" t="n">
        <v>35</v>
      </c>
      <c r="V387" s="62" t="n">
        <v>644</v>
      </c>
      <c r="W387" s="62" t="n">
        <v>1102</v>
      </c>
      <c r="X387" s="62" t="n">
        <v>83</v>
      </c>
    </row>
    <row r="388">
      <c r="A388" s="67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2" t="n">
        <v>155</v>
      </c>
      <c r="P388" s="62" t="n">
        <v>1</v>
      </c>
      <c r="Q388" s="62" t="n">
        <v>530</v>
      </c>
      <c r="R388" s="62" t="n">
        <v>769</v>
      </c>
      <c r="S388" s="62" t="n">
        <v>456</v>
      </c>
      <c r="T388" s="62" t="n">
        <v>850</v>
      </c>
      <c r="U388" s="62" t="n">
        <v>9</v>
      </c>
      <c r="V388" s="62" t="n">
        <v>644</v>
      </c>
      <c r="W388" s="62" t="n">
        <v>1122</v>
      </c>
      <c r="X388" s="62" t="n">
        <v>83</v>
      </c>
    </row>
    <row r="389">
      <c r="A389" s="67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2" t="n">
        <v>155</v>
      </c>
      <c r="P389" s="62" t="n">
        <v>1</v>
      </c>
      <c r="Q389" s="62" t="n">
        <v>530</v>
      </c>
      <c r="R389" s="62" t="n">
        <v>769</v>
      </c>
      <c r="S389" s="62" t="n">
        <v>456</v>
      </c>
      <c r="T389" s="62" t="n">
        <v>850</v>
      </c>
      <c r="U389" s="62" t="n">
        <v>0</v>
      </c>
      <c r="V389" s="62" t="n">
        <v>644</v>
      </c>
      <c r="W389" s="62" t="n">
        <v>1137</v>
      </c>
      <c r="X389" s="62" t="n">
        <v>83</v>
      </c>
    </row>
    <row r="390">
      <c r="A390" s="67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2" t="n">
        <v>155</v>
      </c>
      <c r="P390" s="62" t="n">
        <v>1</v>
      </c>
      <c r="Q390" s="62" t="n">
        <v>530</v>
      </c>
      <c r="R390" s="62" t="n">
        <v>769</v>
      </c>
      <c r="S390" s="62" t="n">
        <v>456</v>
      </c>
      <c r="T390" s="62" t="n">
        <v>850</v>
      </c>
      <c r="U390" s="62" t="n">
        <v>0</v>
      </c>
      <c r="V390" s="62" t="n">
        <v>644</v>
      </c>
      <c r="W390" s="62" t="n">
        <v>1176</v>
      </c>
      <c r="X390" s="62" t="n">
        <v>83</v>
      </c>
    </row>
    <row r="391">
      <c r="A391" s="67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2" t="n">
        <v>155</v>
      </c>
      <c r="P391" s="62" t="n">
        <v>1</v>
      </c>
      <c r="Q391" s="62" t="n">
        <v>530</v>
      </c>
      <c r="R391" s="62" t="n">
        <v>769</v>
      </c>
      <c r="S391" s="62" t="n">
        <v>456</v>
      </c>
      <c r="T391" s="62" t="n">
        <v>850</v>
      </c>
      <c r="U391" s="62" t="n">
        <v>5</v>
      </c>
      <c r="V391" s="62" t="n">
        <v>644</v>
      </c>
      <c r="W391" s="62" t="n">
        <v>1177</v>
      </c>
      <c r="X391" s="62" t="n">
        <v>83</v>
      </c>
    </row>
    <row r="392">
      <c r="A392" s="67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2" t="n">
        <v>225</v>
      </c>
      <c r="P392" s="62" t="n">
        <v>1</v>
      </c>
      <c r="Q392" s="62" t="n">
        <v>796</v>
      </c>
      <c r="R392" s="62" t="n">
        <v>769</v>
      </c>
      <c r="S392" s="62" t="n">
        <v>456</v>
      </c>
      <c r="T392" s="62" t="n">
        <v>850</v>
      </c>
      <c r="U392" s="62" t="n">
        <v>46</v>
      </c>
      <c r="V392" s="62" t="n">
        <v>644</v>
      </c>
      <c r="W392" s="62" t="n">
        <v>1225</v>
      </c>
      <c r="X392" s="62" t="n">
        <v>0</v>
      </c>
    </row>
    <row r="393">
      <c r="A393" s="67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2" t="n">
        <v>225</v>
      </c>
      <c r="P393" s="62" t="n">
        <v>1</v>
      </c>
      <c r="Q393" s="62" t="n">
        <v>796</v>
      </c>
      <c r="R393" s="62" t="n">
        <v>769</v>
      </c>
      <c r="S393" s="62" t="n">
        <v>456</v>
      </c>
      <c r="T393" s="62" t="n">
        <v>850</v>
      </c>
      <c r="U393" s="62" t="n">
        <v>46</v>
      </c>
      <c r="V393" s="62" t="n">
        <v>644</v>
      </c>
      <c r="W393" s="62" t="n">
        <v>1237</v>
      </c>
      <c r="X393" s="62" t="n">
        <v>0</v>
      </c>
    </row>
    <row r="394">
      <c r="A394" s="67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2" t="n">
        <v>155</v>
      </c>
      <c r="P394" s="62" t="n">
        <v>1</v>
      </c>
      <c r="Q394" s="62" t="n">
        <v>530</v>
      </c>
      <c r="R394" s="62" t="n">
        <v>769</v>
      </c>
      <c r="S394" s="62" t="n">
        <v>456</v>
      </c>
      <c r="T394" s="62" t="n">
        <v>1250</v>
      </c>
      <c r="U394" s="62" t="n">
        <v>15</v>
      </c>
      <c r="V394" s="62" t="n">
        <v>644</v>
      </c>
      <c r="W394" s="62" t="n">
        <v>1171</v>
      </c>
      <c r="X394" s="62" t="n">
        <v>83</v>
      </c>
    </row>
    <row r="395">
      <c r="A395" s="67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2" t="n">
        <v>155</v>
      </c>
      <c r="P395" s="62" t="n">
        <v>0</v>
      </c>
      <c r="Q395" s="62" t="n">
        <v>530</v>
      </c>
      <c r="R395" s="62" t="n">
        <v>769</v>
      </c>
      <c r="S395" s="62" t="n">
        <v>456</v>
      </c>
      <c r="T395" s="62" t="n">
        <v>1250</v>
      </c>
      <c r="U395" s="62" t="n">
        <v>0</v>
      </c>
      <c r="V395" s="62" t="n">
        <v>644</v>
      </c>
      <c r="W395" s="62" t="n">
        <v>1158</v>
      </c>
      <c r="X395" s="62" t="n">
        <v>83</v>
      </c>
    </row>
    <row r="396">
      <c r="A396" s="67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2" t="n">
        <v>155</v>
      </c>
      <c r="P396" s="62" t="n">
        <v>0</v>
      </c>
      <c r="Q396" s="62" t="n">
        <v>530</v>
      </c>
      <c r="R396" s="62" t="n">
        <v>769</v>
      </c>
      <c r="S396" s="62" t="n">
        <v>456</v>
      </c>
      <c r="T396" s="62" t="n">
        <v>1250</v>
      </c>
      <c r="U396" s="62" t="n">
        <v>0</v>
      </c>
      <c r="V396" s="62" t="n">
        <v>644</v>
      </c>
      <c r="W396" s="62" t="n">
        <v>1139</v>
      </c>
      <c r="X396" s="62" t="n">
        <v>83</v>
      </c>
    </row>
    <row r="397">
      <c r="A397" s="67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2" t="n">
        <v>155</v>
      </c>
      <c r="P397" s="62" t="n">
        <v>0</v>
      </c>
      <c r="Q397" s="62" t="n">
        <v>530</v>
      </c>
      <c r="R397" s="62" t="n">
        <v>769</v>
      </c>
      <c r="S397" s="62" t="n">
        <v>456</v>
      </c>
      <c r="T397" s="62" t="n">
        <v>1250</v>
      </c>
      <c r="U397" s="62" t="n">
        <v>0</v>
      </c>
      <c r="V397" s="62" t="n">
        <v>644</v>
      </c>
      <c r="W397" s="62" t="n">
        <v>1174</v>
      </c>
      <c r="X397" s="62" t="n">
        <v>83</v>
      </c>
    </row>
    <row r="398">
      <c r="A398" s="67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2" t="n">
        <v>155</v>
      </c>
      <c r="P398" s="62" t="n">
        <v>0</v>
      </c>
      <c r="Q398" s="62" t="n">
        <v>530</v>
      </c>
      <c r="R398" s="62" t="n">
        <v>769</v>
      </c>
      <c r="S398" s="62" t="n">
        <v>456</v>
      </c>
      <c r="T398" s="62" t="n">
        <v>1250</v>
      </c>
      <c r="U398" s="62" t="n">
        <v>0</v>
      </c>
      <c r="V398" s="62" t="n">
        <v>644</v>
      </c>
      <c r="W398" s="62" t="n">
        <v>1180</v>
      </c>
      <c r="X398" s="62" t="n">
        <v>83</v>
      </c>
    </row>
    <row r="399">
      <c r="A399" s="67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2" t="n">
        <v>225</v>
      </c>
      <c r="P399" s="62" t="n">
        <v>1</v>
      </c>
      <c r="Q399" s="62" t="n">
        <v>796</v>
      </c>
      <c r="R399" s="62" t="n">
        <v>769</v>
      </c>
      <c r="S399" s="62" t="n">
        <v>456</v>
      </c>
      <c r="T399" s="62" t="n">
        <v>1250</v>
      </c>
      <c r="U399" s="62" t="n">
        <v>20</v>
      </c>
      <c r="V399" s="62" t="n">
        <v>643</v>
      </c>
      <c r="W399" s="62" t="n">
        <v>1195</v>
      </c>
      <c r="X399" s="62" t="n">
        <v>0</v>
      </c>
    </row>
    <row r="400">
      <c r="A400" s="67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2" t="n">
        <v>225</v>
      </c>
      <c r="P400" s="62" t="n">
        <v>1</v>
      </c>
      <c r="Q400" s="62" t="n">
        <v>801</v>
      </c>
      <c r="R400" s="62" t="n">
        <v>780</v>
      </c>
      <c r="S400" s="62" t="n">
        <v>456</v>
      </c>
      <c r="T400" s="62" t="n">
        <v>1863</v>
      </c>
      <c r="U400" s="62" t="n">
        <v>20</v>
      </c>
      <c r="V400" s="62" t="n">
        <v>643</v>
      </c>
      <c r="W400" s="62" t="n">
        <v>1182</v>
      </c>
      <c r="X400" s="62" t="n">
        <v>0</v>
      </c>
    </row>
    <row r="401">
      <c r="A401" s="67" t="n">
        <v>46174</v>
      </c>
      <c r="B401" s="55" t="inlineStr">
        <is>
          <t>N6</t>
        </is>
      </c>
      <c r="C401" s="56" t="n"/>
      <c r="D401" s="56" t="n"/>
      <c r="E401" s="56" t="n"/>
      <c r="F401" s="56" t="n"/>
      <c r="G401" s="56" t="n"/>
      <c r="H401" s="56" t="n"/>
      <c r="I401" s="56" t="n"/>
      <c r="J401" s="56" t="n"/>
      <c r="K401" s="56" t="n"/>
      <c r="L401" s="56" t="n"/>
      <c r="M401" s="56">
        <f>N401-SUM(C401:L401)</f>
        <v/>
      </c>
      <c r="N401" s="57" t="n"/>
      <c r="O401" s="56" t="n"/>
      <c r="P401" s="56" t="n"/>
      <c r="Q401" s="56" t="n"/>
      <c r="R401" s="56" t="n"/>
      <c r="S401" s="56" t="n"/>
      <c r="T401" s="56" t="n"/>
      <c r="U401" s="56" t="n"/>
      <c r="V401" s="56" t="n"/>
      <c r="W401" s="56" t="n"/>
      <c r="X401" s="56" t="n"/>
    </row>
    <row r="402">
      <c r="A402" s="67" t="n">
        <v>46175</v>
      </c>
      <c r="B402" s="55" t="inlineStr">
        <is>
          <t>N6</t>
        </is>
      </c>
      <c r="C402" s="56" t="n"/>
      <c r="D402" s="56" t="n"/>
      <c r="E402" s="56" t="n"/>
      <c r="F402" s="56" t="n"/>
      <c r="G402" s="56" t="n"/>
      <c r="H402" s="56" t="n"/>
      <c r="I402" s="56" t="n"/>
      <c r="J402" s="56" t="n"/>
      <c r="K402" s="56" t="n"/>
      <c r="L402" s="56" t="n"/>
      <c r="M402" s="56">
        <f>N402-SUM(C402:L402)</f>
        <v/>
      </c>
      <c r="N402" s="57" t="n"/>
      <c r="O402" s="56" t="n"/>
      <c r="P402" s="56" t="n"/>
      <c r="Q402" s="56" t="n"/>
      <c r="R402" s="56" t="n"/>
      <c r="S402" s="56" t="n"/>
      <c r="T402" s="56" t="n"/>
      <c r="U402" s="56" t="n"/>
      <c r="V402" s="56" t="n"/>
      <c r="W402" s="56" t="n"/>
      <c r="X402" s="56" t="n"/>
    </row>
    <row r="403">
      <c r="A403" s="67" t="n">
        <v>46176</v>
      </c>
      <c r="B403" s="55" t="inlineStr">
        <is>
          <t>N6</t>
        </is>
      </c>
      <c r="C403" s="56" t="n"/>
      <c r="D403" s="56" t="n"/>
      <c r="E403" s="56" t="n"/>
      <c r="F403" s="56" t="n"/>
      <c r="G403" s="56" t="n"/>
      <c r="H403" s="56" t="n"/>
      <c r="I403" s="56" t="n"/>
      <c r="J403" s="56" t="n"/>
      <c r="K403" s="56" t="n"/>
      <c r="L403" s="56" t="n"/>
      <c r="M403" s="56">
        <f>N403-SUM(C403:L403)</f>
        <v/>
      </c>
      <c r="N403" s="57" t="n"/>
      <c r="O403" s="56" t="n"/>
      <c r="P403" s="56" t="n"/>
      <c r="Q403" s="56" t="n"/>
      <c r="R403" s="56" t="n"/>
      <c r="S403" s="56" t="n"/>
      <c r="T403" s="56" t="n"/>
      <c r="U403" s="56" t="n"/>
      <c r="V403" s="56" t="n"/>
      <c r="W403" s="56" t="n"/>
      <c r="X403" s="56" t="n"/>
    </row>
    <row r="404">
      <c r="A404" s="67" t="n">
        <v>46177</v>
      </c>
      <c r="B404" s="55" t="inlineStr">
        <is>
          <t>N6</t>
        </is>
      </c>
      <c r="C404" s="56" t="n"/>
      <c r="D404" s="56" t="n"/>
      <c r="E404" s="56" t="n"/>
      <c r="F404" s="56" t="n"/>
      <c r="G404" s="56" t="n"/>
      <c r="H404" s="56" t="n"/>
      <c r="I404" s="56" t="n"/>
      <c r="J404" s="56" t="n"/>
      <c r="K404" s="56" t="n"/>
      <c r="L404" s="56" t="n"/>
      <c r="M404" s="56">
        <f>N404-SUM(C404:L404)</f>
        <v/>
      </c>
      <c r="N404" s="57" t="n"/>
      <c r="O404" s="56" t="n"/>
      <c r="P404" s="56" t="n"/>
      <c r="Q404" s="56" t="n"/>
      <c r="R404" s="56" t="n"/>
      <c r="S404" s="56" t="n"/>
      <c r="T404" s="56" t="n"/>
      <c r="U404" s="56" t="n"/>
      <c r="V404" s="56" t="n"/>
      <c r="W404" s="56" t="n"/>
      <c r="X404" s="56" t="n"/>
    </row>
    <row r="405">
      <c r="A405" s="67" t="n">
        <v>46178</v>
      </c>
      <c r="B405" s="55" t="inlineStr">
        <is>
          <t>N6</t>
        </is>
      </c>
      <c r="C405" s="56" t="n"/>
      <c r="D405" s="56" t="n"/>
      <c r="E405" s="56" t="n"/>
      <c r="F405" s="56" t="n"/>
      <c r="G405" s="56" t="n"/>
      <c r="H405" s="56" t="n"/>
      <c r="I405" s="56" t="n"/>
      <c r="J405" s="56" t="n"/>
      <c r="K405" s="56" t="n"/>
      <c r="L405" s="56" t="n"/>
      <c r="M405" s="56">
        <f>N405-SUM(C405:L405)</f>
        <v/>
      </c>
      <c r="N405" s="57" t="n"/>
      <c r="O405" s="56" t="n"/>
      <c r="P405" s="56" t="n"/>
      <c r="Q405" s="56" t="n"/>
      <c r="R405" s="56" t="n"/>
      <c r="S405" s="56" t="n"/>
      <c r="T405" s="56" t="n"/>
      <c r="U405" s="56" t="n"/>
      <c r="V405" s="56" t="n"/>
      <c r="W405" s="56" t="n"/>
      <c r="X405" s="56" t="n"/>
    </row>
    <row r="406">
      <c r="A406" s="67" t="n">
        <v>46179</v>
      </c>
      <c r="B406" s="55" t="inlineStr">
        <is>
          <t>N6</t>
        </is>
      </c>
      <c r="C406" s="56" t="n"/>
      <c r="D406" s="56" t="n"/>
      <c r="E406" s="56" t="n"/>
      <c r="F406" s="56" t="n"/>
      <c r="G406" s="56" t="n"/>
      <c r="H406" s="56" t="n"/>
      <c r="I406" s="56" t="n"/>
      <c r="J406" s="56" t="n"/>
      <c r="K406" s="56" t="n"/>
      <c r="L406" s="56" t="n"/>
      <c r="M406" s="56">
        <f>N406-SUM(C406:L406)</f>
        <v/>
      </c>
      <c r="N406" s="57" t="n"/>
      <c r="O406" s="56" t="n"/>
      <c r="P406" s="56" t="n"/>
      <c r="Q406" s="56" t="n"/>
      <c r="R406" s="56" t="n"/>
      <c r="S406" s="56" t="n"/>
      <c r="T406" s="56" t="n"/>
      <c r="U406" s="56" t="n"/>
      <c r="V406" s="56" t="n"/>
      <c r="W406" s="56" t="n"/>
      <c r="X406" s="56" t="n"/>
    </row>
    <row r="407">
      <c r="A407" s="67" t="n">
        <v>46180</v>
      </c>
      <c r="B407" s="55" t="inlineStr">
        <is>
          <t>N6</t>
        </is>
      </c>
      <c r="C407" s="56" t="n"/>
      <c r="D407" s="56" t="n"/>
      <c r="E407" s="56" t="n"/>
      <c r="F407" s="56" t="n"/>
      <c r="G407" s="56" t="n"/>
      <c r="H407" s="56" t="n"/>
      <c r="I407" s="56" t="n"/>
      <c r="J407" s="56" t="n"/>
      <c r="K407" s="56" t="n"/>
      <c r="L407" s="56" t="n"/>
      <c r="M407" s="56">
        <f>N407-SUM(C407:L407)</f>
        <v/>
      </c>
      <c r="N407" s="57" t="n"/>
      <c r="O407" s="56" t="n"/>
      <c r="P407" s="56" t="n"/>
      <c r="Q407" s="56" t="n"/>
      <c r="R407" s="56" t="n"/>
      <c r="S407" s="56" t="n"/>
      <c r="T407" s="56" t="n"/>
      <c r="U407" s="56" t="n"/>
      <c r="V407" s="56" t="n"/>
      <c r="W407" s="56" t="n"/>
      <c r="X407" s="56" t="n"/>
    </row>
    <row r="408">
      <c r="A408" s="67" t="n">
        <v>46181</v>
      </c>
      <c r="B408" s="55" t="inlineStr">
        <is>
          <t>N6</t>
        </is>
      </c>
      <c r="C408" s="56" t="n"/>
      <c r="D408" s="56" t="n"/>
      <c r="E408" s="56" t="n"/>
      <c r="F408" s="56" t="n"/>
      <c r="G408" s="56" t="n"/>
      <c r="H408" s="56" t="n"/>
      <c r="I408" s="56" t="n"/>
      <c r="J408" s="56" t="n"/>
      <c r="K408" s="56" t="n"/>
      <c r="L408" s="56" t="n"/>
      <c r="M408" s="56">
        <f>N408-SUM(C408:L408)</f>
        <v/>
      </c>
      <c r="N408" s="57" t="n"/>
      <c r="O408" s="56" t="n"/>
      <c r="P408" s="56" t="n"/>
      <c r="Q408" s="56" t="n"/>
      <c r="R408" s="56" t="n"/>
      <c r="S408" s="56" t="n"/>
      <c r="T408" s="56" t="n"/>
      <c r="U408" s="56" t="n"/>
      <c r="V408" s="56" t="n"/>
      <c r="W408" s="56" t="n"/>
      <c r="X408" s="56" t="n"/>
    </row>
    <row r="409">
      <c r="A409" s="67" t="n">
        <v>46182</v>
      </c>
      <c r="B409" s="55" t="inlineStr">
        <is>
          <t>N6</t>
        </is>
      </c>
      <c r="C409" s="56" t="n"/>
      <c r="D409" s="56" t="n"/>
      <c r="E409" s="56" t="n"/>
      <c r="F409" s="56" t="n"/>
      <c r="G409" s="56" t="n"/>
      <c r="H409" s="56" t="n"/>
      <c r="I409" s="56" t="n"/>
      <c r="J409" s="56" t="n"/>
      <c r="K409" s="56" t="n"/>
      <c r="L409" s="56" t="n"/>
      <c r="M409" s="56">
        <f>N409-SUM(C409:L409)</f>
        <v/>
      </c>
      <c r="N409" s="57" t="n"/>
      <c r="O409" s="56" t="n"/>
      <c r="P409" s="56" t="n"/>
      <c r="Q409" s="56" t="n"/>
      <c r="R409" s="56" t="n"/>
      <c r="S409" s="56" t="n"/>
      <c r="T409" s="56" t="n"/>
      <c r="U409" s="56" t="n"/>
      <c r="V409" s="56" t="n"/>
      <c r="W409" s="56" t="n"/>
      <c r="X409" s="56" t="n"/>
    </row>
    <row r="410">
      <c r="A410" s="67" t="n">
        <v>46183</v>
      </c>
      <c r="B410" s="55" t="inlineStr">
        <is>
          <t>N6</t>
        </is>
      </c>
      <c r="C410" s="56" t="n"/>
      <c r="D410" s="56" t="n"/>
      <c r="E410" s="56" t="n"/>
      <c r="F410" s="56" t="n"/>
      <c r="G410" s="56" t="n"/>
      <c r="H410" s="56" t="n"/>
      <c r="I410" s="56" t="n"/>
      <c r="J410" s="56" t="n"/>
      <c r="K410" s="56" t="n"/>
      <c r="L410" s="56" t="n"/>
      <c r="M410" s="56">
        <f>N410-SUM(C410:L410)</f>
        <v/>
      </c>
      <c r="N410" s="57" t="n"/>
      <c r="O410" s="56" t="n"/>
      <c r="P410" s="56" t="n"/>
      <c r="Q410" s="56" t="n"/>
      <c r="R410" s="56" t="n"/>
      <c r="S410" s="56" t="n"/>
      <c r="T410" s="56" t="n"/>
      <c r="U410" s="56" t="n"/>
      <c r="V410" s="56" t="n"/>
      <c r="W410" s="56" t="n"/>
      <c r="X410" s="56" t="n"/>
    </row>
    <row r="411">
      <c r="A411" s="67" t="n">
        <v>46184</v>
      </c>
      <c r="B411" s="55" t="inlineStr">
        <is>
          <t>N6</t>
        </is>
      </c>
      <c r="C411" s="56" t="n"/>
      <c r="D411" s="56" t="n"/>
      <c r="E411" s="56" t="n"/>
      <c r="F411" s="56" t="n"/>
      <c r="G411" s="56" t="n"/>
      <c r="H411" s="56" t="n"/>
      <c r="I411" s="56" t="n"/>
      <c r="J411" s="56" t="n"/>
      <c r="K411" s="56" t="n"/>
      <c r="L411" s="56" t="n"/>
      <c r="M411" s="56">
        <f>N411-SUM(C411:L411)</f>
        <v/>
      </c>
      <c r="N411" s="57" t="n"/>
      <c r="O411" s="56" t="n"/>
      <c r="P411" s="56" t="n"/>
      <c r="Q411" s="56" t="n"/>
      <c r="R411" s="56" t="n"/>
      <c r="S411" s="56" t="n"/>
      <c r="T411" s="56" t="n"/>
      <c r="U411" s="56" t="n"/>
      <c r="V411" s="56" t="n"/>
      <c r="W411" s="56" t="n"/>
      <c r="X411" s="56" t="n"/>
    </row>
    <row r="412">
      <c r="A412" s="67" t="n">
        <v>46185</v>
      </c>
      <c r="B412" s="55" t="inlineStr">
        <is>
          <t>N6</t>
        </is>
      </c>
      <c r="C412" s="56" t="n"/>
      <c r="D412" s="56" t="n"/>
      <c r="E412" s="56" t="n"/>
      <c r="F412" s="56" t="n"/>
      <c r="G412" s="56" t="n"/>
      <c r="H412" s="56" t="n"/>
      <c r="I412" s="56" t="n"/>
      <c r="J412" s="56" t="n"/>
      <c r="K412" s="56" t="n"/>
      <c r="L412" s="56" t="n"/>
      <c r="M412" s="56">
        <f>N412-SUM(C412:L412)</f>
        <v/>
      </c>
      <c r="N412" s="57" t="n"/>
      <c r="O412" s="56" t="n"/>
      <c r="P412" s="56" t="n"/>
      <c r="Q412" s="56" t="n"/>
      <c r="R412" s="56" t="n"/>
      <c r="S412" s="56" t="n"/>
      <c r="T412" s="56" t="n"/>
      <c r="U412" s="56" t="n"/>
      <c r="V412" s="56" t="n"/>
      <c r="W412" s="56" t="n"/>
      <c r="X412" s="56" t="n"/>
    </row>
    <row r="413">
      <c r="A413" s="67" t="n">
        <v>46186</v>
      </c>
      <c r="B413" s="55" t="inlineStr">
        <is>
          <t>N6</t>
        </is>
      </c>
      <c r="C413" s="56" t="n"/>
      <c r="D413" s="56" t="n"/>
      <c r="E413" s="56" t="n"/>
      <c r="F413" s="56" t="n"/>
      <c r="G413" s="56" t="n"/>
      <c r="H413" s="56" t="n"/>
      <c r="I413" s="56" t="n"/>
      <c r="J413" s="56" t="n"/>
      <c r="K413" s="56" t="n"/>
      <c r="L413" s="56" t="n"/>
      <c r="M413" s="56">
        <f>N413-SUM(C413:L413)</f>
        <v/>
      </c>
      <c r="N413" s="57" t="n"/>
      <c r="O413" s="56" t="n"/>
      <c r="P413" s="56" t="n"/>
      <c r="Q413" s="56" t="n"/>
      <c r="R413" s="56" t="n"/>
      <c r="S413" s="56" t="n"/>
      <c r="T413" s="56" t="n"/>
      <c r="U413" s="56" t="n"/>
      <c r="V413" s="56" t="n"/>
      <c r="W413" s="56" t="n"/>
      <c r="X413" s="56" t="n"/>
    </row>
    <row r="414">
      <c r="A414" s="67" t="n">
        <v>46187</v>
      </c>
      <c r="B414" s="55" t="inlineStr">
        <is>
          <t>N6</t>
        </is>
      </c>
      <c r="C414" s="56" t="n"/>
      <c r="D414" s="56" t="n"/>
      <c r="E414" s="56" t="n"/>
      <c r="F414" s="56" t="n"/>
      <c r="G414" s="56" t="n"/>
      <c r="H414" s="56" t="n"/>
      <c r="I414" s="56" t="n"/>
      <c r="J414" s="56" t="n"/>
      <c r="K414" s="56" t="n"/>
      <c r="L414" s="56" t="n"/>
      <c r="M414" s="56">
        <f>N414-SUM(C414:L414)</f>
        <v/>
      </c>
      <c r="N414" s="57" t="n"/>
      <c r="O414" s="56" t="n"/>
      <c r="P414" s="56" t="n"/>
      <c r="Q414" s="56" t="n"/>
      <c r="R414" s="56" t="n"/>
      <c r="S414" s="56" t="n"/>
      <c r="T414" s="56" t="n"/>
      <c r="U414" s="56" t="n"/>
      <c r="V414" s="56" t="n"/>
      <c r="W414" s="56" t="n"/>
      <c r="X414" s="56" t="n"/>
    </row>
    <row r="415">
      <c r="A415" s="67" t="n">
        <v>46188</v>
      </c>
      <c r="B415" s="55" t="inlineStr">
        <is>
          <t>N6</t>
        </is>
      </c>
      <c r="C415" s="56" t="n"/>
      <c r="D415" s="56" t="n"/>
      <c r="E415" s="56" t="n"/>
      <c r="F415" s="56" t="n"/>
      <c r="G415" s="56" t="n"/>
      <c r="H415" s="56" t="n"/>
      <c r="I415" s="56" t="n"/>
      <c r="J415" s="56" t="n"/>
      <c r="K415" s="56" t="n"/>
      <c r="L415" s="56" t="n"/>
      <c r="M415" s="56">
        <f>N415-SUM(C415:L415)</f>
        <v/>
      </c>
      <c r="N415" s="57" t="n"/>
      <c r="O415" s="56" t="n"/>
      <c r="P415" s="56" t="n"/>
      <c r="Q415" s="56" t="n"/>
      <c r="R415" s="56" t="n"/>
      <c r="S415" s="56" t="n"/>
      <c r="T415" s="56" t="n"/>
      <c r="U415" s="56" t="n"/>
      <c r="V415" s="56" t="n"/>
      <c r="W415" s="56" t="n"/>
      <c r="X415" s="56" t="n"/>
    </row>
    <row r="416">
      <c r="A416" s="67" t="n">
        <v>46189</v>
      </c>
      <c r="B416" s="55" t="inlineStr">
        <is>
          <t>N6</t>
        </is>
      </c>
      <c r="C416" s="56" t="n"/>
      <c r="D416" s="56" t="n"/>
      <c r="E416" s="56" t="n"/>
      <c r="F416" s="56" t="n"/>
      <c r="G416" s="56" t="n"/>
      <c r="H416" s="56" t="n"/>
      <c r="I416" s="56" t="n"/>
      <c r="J416" s="56" t="n"/>
      <c r="K416" s="56" t="n"/>
      <c r="L416" s="56" t="n"/>
      <c r="M416" s="56">
        <f>N416-SUM(C416:L416)</f>
        <v/>
      </c>
      <c r="N416" s="57" t="n"/>
      <c r="O416" s="56" t="n"/>
      <c r="P416" s="56" t="n"/>
      <c r="Q416" s="56" t="n"/>
      <c r="R416" s="56" t="n"/>
      <c r="S416" s="56" t="n"/>
      <c r="T416" s="56" t="n"/>
      <c r="U416" s="56" t="n"/>
      <c r="V416" s="56" t="n"/>
      <c r="W416" s="56" t="n"/>
      <c r="X416" s="56" t="n"/>
    </row>
    <row r="417">
      <c r="A417" s="67" t="n">
        <v>46190</v>
      </c>
      <c r="B417" s="55" t="inlineStr">
        <is>
          <t>N6</t>
        </is>
      </c>
      <c r="C417" s="56" t="n"/>
      <c r="D417" s="56" t="n"/>
      <c r="E417" s="56" t="n"/>
      <c r="F417" s="56" t="n"/>
      <c r="G417" s="56" t="n"/>
      <c r="H417" s="56" t="n"/>
      <c r="I417" s="56" t="n"/>
      <c r="J417" s="56" t="n"/>
      <c r="K417" s="56" t="n"/>
      <c r="L417" s="56" t="n"/>
      <c r="M417" s="56">
        <f>N417-SUM(C417:L417)</f>
        <v/>
      </c>
      <c r="N417" s="57" t="n"/>
      <c r="O417" s="56" t="n"/>
      <c r="P417" s="56" t="n"/>
      <c r="Q417" s="56" t="n"/>
      <c r="R417" s="56" t="n"/>
      <c r="S417" s="56" t="n"/>
      <c r="T417" s="56" t="n"/>
      <c r="U417" s="56" t="n"/>
      <c r="V417" s="56" t="n"/>
      <c r="W417" s="56" t="n"/>
      <c r="X417" s="56" t="n"/>
    </row>
    <row r="418">
      <c r="A418" s="67" t="n">
        <v>46191</v>
      </c>
      <c r="B418" s="55" t="inlineStr">
        <is>
          <t>N6</t>
        </is>
      </c>
      <c r="C418" s="56" t="n"/>
      <c r="D418" s="56" t="n"/>
      <c r="E418" s="56" t="n"/>
      <c r="F418" s="56" t="n"/>
      <c r="G418" s="56" t="n"/>
      <c r="H418" s="56" t="n"/>
      <c r="I418" s="56" t="n"/>
      <c r="J418" s="56" t="n"/>
      <c r="K418" s="56" t="n"/>
      <c r="L418" s="56" t="n"/>
      <c r="M418" s="56">
        <f>N418-SUM(C418:L418)</f>
        <v/>
      </c>
      <c r="N418" s="57" t="n"/>
      <c r="O418" s="56" t="n"/>
      <c r="P418" s="56" t="n"/>
      <c r="Q418" s="56" t="n"/>
      <c r="R418" s="56" t="n"/>
      <c r="S418" s="56" t="n"/>
      <c r="T418" s="56" t="n"/>
      <c r="U418" s="56" t="n"/>
      <c r="V418" s="56" t="n"/>
      <c r="W418" s="56" t="n"/>
      <c r="X418" s="56" t="n"/>
    </row>
    <row r="419">
      <c r="A419" s="67" t="n">
        <v>46192</v>
      </c>
      <c r="B419" s="55" t="inlineStr">
        <is>
          <t>N6</t>
        </is>
      </c>
      <c r="C419" s="56" t="n"/>
      <c r="D419" s="56" t="n"/>
      <c r="E419" s="56" t="n"/>
      <c r="F419" s="56" t="n"/>
      <c r="G419" s="56" t="n"/>
      <c r="H419" s="56" t="n"/>
      <c r="I419" s="56" t="n"/>
      <c r="J419" s="56" t="n"/>
      <c r="K419" s="56" t="n"/>
      <c r="L419" s="56" t="n"/>
      <c r="M419" s="56">
        <f>N419-SUM(C419:L419)</f>
        <v/>
      </c>
      <c r="N419" s="57" t="n"/>
      <c r="O419" s="56" t="n"/>
      <c r="P419" s="56" t="n"/>
      <c r="Q419" s="56" t="n"/>
      <c r="R419" s="56" t="n"/>
      <c r="S419" s="56" t="n"/>
      <c r="T419" s="56" t="n"/>
      <c r="U419" s="56" t="n"/>
      <c r="V419" s="56" t="n"/>
      <c r="W419" s="56" t="n"/>
      <c r="X419" s="56" t="n"/>
    </row>
    <row r="420">
      <c r="A420" s="67" t="n">
        <v>46193</v>
      </c>
      <c r="B420" s="55" t="inlineStr">
        <is>
          <t>N6</t>
        </is>
      </c>
      <c r="C420" s="56" t="n"/>
      <c r="D420" s="56" t="n"/>
      <c r="E420" s="56" t="n"/>
      <c r="F420" s="56" t="n"/>
      <c r="G420" s="56" t="n"/>
      <c r="H420" s="56" t="n"/>
      <c r="I420" s="56" t="n"/>
      <c r="J420" s="56" t="n"/>
      <c r="K420" s="56" t="n"/>
      <c r="L420" s="56" t="n"/>
      <c r="M420" s="56">
        <f>N420-SUM(C420:L420)</f>
        <v/>
      </c>
      <c r="N420" s="57" t="n"/>
      <c r="O420" s="56" t="n"/>
      <c r="P420" s="56" t="n"/>
      <c r="Q420" s="56" t="n"/>
      <c r="R420" s="56" t="n"/>
      <c r="S420" s="56" t="n"/>
      <c r="T420" s="56" t="n"/>
      <c r="U420" s="56" t="n"/>
      <c r="V420" s="56" t="n"/>
      <c r="W420" s="56" t="n"/>
      <c r="X420" s="56" t="n"/>
    </row>
    <row r="421">
      <c r="A421" s="67" t="n">
        <v>46194</v>
      </c>
      <c r="B421" s="55" t="inlineStr">
        <is>
          <t>N6</t>
        </is>
      </c>
      <c r="C421" s="56" t="n"/>
      <c r="D421" s="56" t="n"/>
      <c r="E421" s="56" t="n"/>
      <c r="F421" s="56" t="n"/>
      <c r="G421" s="56" t="n"/>
      <c r="H421" s="56" t="n"/>
      <c r="I421" s="56" t="n"/>
      <c r="J421" s="56" t="n"/>
      <c r="K421" s="56" t="n"/>
      <c r="L421" s="56" t="n"/>
      <c r="M421" s="56">
        <f>N421-SUM(C421:L421)</f>
        <v/>
      </c>
      <c r="N421" s="57" t="n"/>
      <c r="O421" s="56" t="n"/>
      <c r="P421" s="56" t="n"/>
      <c r="Q421" s="56" t="n"/>
      <c r="R421" s="56" t="n"/>
      <c r="S421" s="56" t="n"/>
      <c r="T421" s="56" t="n"/>
      <c r="U421" s="56" t="n"/>
      <c r="V421" s="56" t="n"/>
      <c r="W421" s="56" t="n"/>
      <c r="X421" s="56" t="n"/>
    </row>
    <row r="422">
      <c r="A422" s="67" t="n">
        <v>46195</v>
      </c>
      <c r="B422" s="55" t="inlineStr">
        <is>
          <t>N6</t>
        </is>
      </c>
      <c r="C422" s="56" t="n"/>
      <c r="D422" s="56" t="n"/>
      <c r="E422" s="56" t="n"/>
      <c r="F422" s="56" t="n"/>
      <c r="G422" s="56" t="n"/>
      <c r="H422" s="56" t="n"/>
      <c r="I422" s="56" t="n"/>
      <c r="J422" s="56" t="n"/>
      <c r="K422" s="56" t="n"/>
      <c r="L422" s="56" t="n"/>
      <c r="M422" s="56">
        <f>N422-SUM(C422:L422)</f>
        <v/>
      </c>
      <c r="N422" s="57" t="n"/>
      <c r="O422" s="56" t="n"/>
      <c r="P422" s="56" t="n"/>
      <c r="Q422" s="56" t="n"/>
      <c r="R422" s="56" t="n"/>
      <c r="S422" s="56" t="n"/>
      <c r="T422" s="56" t="n"/>
      <c r="U422" s="56" t="n"/>
      <c r="V422" s="56" t="n"/>
      <c r="W422" s="56" t="n"/>
      <c r="X422" s="56" t="n"/>
    </row>
    <row r="423">
      <c r="A423" s="67" t="n">
        <v>46196</v>
      </c>
      <c r="B423" s="55" t="inlineStr">
        <is>
          <t>N6</t>
        </is>
      </c>
      <c r="C423" s="56" t="n"/>
      <c r="D423" s="56" t="n"/>
      <c r="E423" s="56" t="n"/>
      <c r="F423" s="56" t="n"/>
      <c r="G423" s="56" t="n"/>
      <c r="H423" s="56" t="n"/>
      <c r="I423" s="56" t="n"/>
      <c r="J423" s="56" t="n"/>
      <c r="K423" s="56" t="n"/>
      <c r="L423" s="56" t="n"/>
      <c r="M423" s="56">
        <f>N423-SUM(C423:L423)</f>
        <v/>
      </c>
      <c r="N423" s="57" t="n"/>
      <c r="O423" s="56" t="n"/>
      <c r="P423" s="56" t="n"/>
      <c r="Q423" s="56" t="n"/>
      <c r="R423" s="56" t="n"/>
      <c r="S423" s="56" t="n"/>
      <c r="T423" s="56" t="n"/>
      <c r="U423" s="56" t="n"/>
      <c r="V423" s="56" t="n"/>
      <c r="W423" s="56" t="n"/>
      <c r="X423" s="56" t="n"/>
    </row>
    <row r="424">
      <c r="A424" s="67" t="n">
        <v>46197</v>
      </c>
      <c r="B424" s="55" t="inlineStr">
        <is>
          <t>N6</t>
        </is>
      </c>
      <c r="C424" s="56" t="n"/>
      <c r="D424" s="56" t="n"/>
      <c r="E424" s="56" t="n"/>
      <c r="F424" s="56" t="n"/>
      <c r="G424" s="56" t="n"/>
      <c r="H424" s="56" t="n"/>
      <c r="I424" s="56" t="n"/>
      <c r="J424" s="56" t="n"/>
      <c r="K424" s="56" t="n"/>
      <c r="L424" s="56" t="n"/>
      <c r="M424" s="56">
        <f>N424-SUM(C424:L424)</f>
        <v/>
      </c>
      <c r="N424" s="57" t="n"/>
      <c r="O424" s="56" t="n"/>
      <c r="P424" s="56" t="n"/>
      <c r="Q424" s="56" t="n"/>
      <c r="R424" s="56" t="n"/>
      <c r="S424" s="56" t="n"/>
      <c r="T424" s="56" t="n"/>
      <c r="U424" s="56" t="n"/>
      <c r="V424" s="56" t="n"/>
      <c r="W424" s="56" t="n"/>
      <c r="X424" s="56" t="n"/>
    </row>
    <row r="425">
      <c r="A425" s="67" t="n">
        <v>46198</v>
      </c>
      <c r="B425" s="55" t="inlineStr">
        <is>
          <t>N6</t>
        </is>
      </c>
      <c r="C425" s="56" t="n"/>
      <c r="D425" s="56" t="n"/>
      <c r="E425" s="56" t="n"/>
      <c r="F425" s="56" t="n"/>
      <c r="G425" s="56" t="n"/>
      <c r="H425" s="56" t="n"/>
      <c r="I425" s="56" t="n"/>
      <c r="J425" s="56" t="n"/>
      <c r="K425" s="56" t="n"/>
      <c r="L425" s="56" t="n"/>
      <c r="M425" s="56">
        <f>N425-SUM(C425:L425)</f>
        <v/>
      </c>
      <c r="N425" s="57" t="n"/>
      <c r="O425" s="56" t="n"/>
      <c r="P425" s="56" t="n"/>
      <c r="Q425" s="56" t="n"/>
      <c r="R425" s="56" t="n"/>
      <c r="S425" s="56" t="n"/>
      <c r="T425" s="56" t="n"/>
      <c r="U425" s="56" t="n"/>
      <c r="V425" s="56" t="n"/>
      <c r="W425" s="56" t="n"/>
      <c r="X425" s="56" t="n"/>
    </row>
    <row r="426">
      <c r="A426" s="67" t="n">
        <v>46199</v>
      </c>
      <c r="B426" s="55" t="inlineStr">
        <is>
          <t>N6</t>
        </is>
      </c>
      <c r="C426" s="56" t="n"/>
      <c r="D426" s="56" t="n"/>
      <c r="E426" s="56" t="n"/>
      <c r="F426" s="56" t="n"/>
      <c r="G426" s="56" t="n"/>
      <c r="H426" s="56" t="n"/>
      <c r="I426" s="56" t="n"/>
      <c r="J426" s="56" t="n"/>
      <c r="K426" s="56" t="n"/>
      <c r="L426" s="56" t="n"/>
      <c r="M426" s="56">
        <f>N426-SUM(C426:L426)</f>
        <v/>
      </c>
      <c r="N426" s="57" t="n"/>
      <c r="O426" s="56" t="n"/>
      <c r="P426" s="56" t="n"/>
      <c r="Q426" s="56" t="n"/>
      <c r="R426" s="56" t="n"/>
      <c r="S426" s="56" t="n"/>
      <c r="T426" s="56" t="n"/>
      <c r="U426" s="56" t="n"/>
      <c r="V426" s="56" t="n"/>
      <c r="W426" s="56" t="n"/>
      <c r="X426" s="56" t="n"/>
    </row>
    <row r="427">
      <c r="A427" s="67" t="n">
        <v>46200</v>
      </c>
      <c r="B427" s="55" t="inlineStr">
        <is>
          <t>N6</t>
        </is>
      </c>
      <c r="C427" s="56" t="n"/>
      <c r="D427" s="56" t="n"/>
      <c r="E427" s="56" t="n"/>
      <c r="F427" s="56" t="n"/>
      <c r="G427" s="56" t="n"/>
      <c r="H427" s="56" t="n"/>
      <c r="I427" s="56" t="n"/>
      <c r="J427" s="56" t="n"/>
      <c r="K427" s="56" t="n"/>
      <c r="L427" s="56" t="n"/>
      <c r="M427" s="56">
        <f>N427-SUM(C427:L427)</f>
        <v/>
      </c>
      <c r="N427" s="57" t="n"/>
      <c r="O427" s="56" t="n"/>
      <c r="P427" s="56" t="n"/>
      <c r="Q427" s="56" t="n"/>
      <c r="R427" s="56" t="n"/>
      <c r="S427" s="56" t="n"/>
      <c r="T427" s="56" t="n"/>
      <c r="U427" s="56" t="n"/>
      <c r="V427" s="56" t="n"/>
      <c r="W427" s="56" t="n"/>
      <c r="X427" s="56" t="n"/>
    </row>
    <row r="428">
      <c r="A428" s="67" t="n">
        <v>46201</v>
      </c>
      <c r="B428" s="55" t="inlineStr">
        <is>
          <t>N6</t>
        </is>
      </c>
      <c r="C428" s="56" t="n"/>
      <c r="D428" s="56" t="n"/>
      <c r="E428" s="56" t="n"/>
      <c r="F428" s="56" t="n"/>
      <c r="G428" s="56" t="n"/>
      <c r="H428" s="56" t="n"/>
      <c r="I428" s="56" t="n"/>
      <c r="J428" s="56" t="n"/>
      <c r="K428" s="56" t="n"/>
      <c r="L428" s="56" t="n"/>
      <c r="M428" s="56">
        <f>N428-SUM(C428:L428)</f>
        <v/>
      </c>
      <c r="N428" s="57" t="n"/>
      <c r="O428" s="56" t="n"/>
      <c r="P428" s="56" t="n"/>
      <c r="Q428" s="56" t="n"/>
      <c r="R428" s="56" t="n"/>
      <c r="S428" s="56" t="n"/>
      <c r="T428" s="56" t="n"/>
      <c r="U428" s="56" t="n"/>
      <c r="V428" s="56" t="n"/>
      <c r="W428" s="56" t="n"/>
      <c r="X428" s="56" t="n"/>
    </row>
    <row r="429">
      <c r="A429" s="67" t="n">
        <v>46202</v>
      </c>
      <c r="B429" s="55" t="inlineStr">
        <is>
          <t>N6</t>
        </is>
      </c>
      <c r="C429" s="56" t="n"/>
      <c r="D429" s="56" t="n"/>
      <c r="E429" s="56" t="n"/>
      <c r="F429" s="56" t="n"/>
      <c r="G429" s="56" t="n"/>
      <c r="H429" s="56" t="n"/>
      <c r="I429" s="56" t="n"/>
      <c r="J429" s="56" t="n"/>
      <c r="K429" s="56" t="n"/>
      <c r="L429" s="56" t="n"/>
      <c r="M429" s="56">
        <f>N429-SUM(C429:L429)</f>
        <v/>
      </c>
      <c r="N429" s="57" t="n"/>
      <c r="O429" s="56" t="n"/>
      <c r="P429" s="56" t="n"/>
      <c r="Q429" s="56" t="n"/>
      <c r="R429" s="56" t="n"/>
      <c r="S429" s="56" t="n"/>
      <c r="T429" s="56" t="n"/>
      <c r="U429" s="56" t="n"/>
      <c r="V429" s="56" t="n"/>
      <c r="W429" s="56" t="n"/>
      <c r="X429" s="56" t="n"/>
    </row>
    <row r="430">
      <c r="A430" s="67" t="n">
        <v>46203</v>
      </c>
      <c r="B430" s="55" t="inlineStr">
        <is>
          <t>N6</t>
        </is>
      </c>
      <c r="C430" s="56" t="n"/>
      <c r="D430" s="56" t="n"/>
      <c r="E430" s="56" t="n"/>
      <c r="F430" s="56" t="n"/>
      <c r="G430" s="56" t="n"/>
      <c r="H430" s="56" t="n"/>
      <c r="I430" s="56" t="n"/>
      <c r="J430" s="56" t="n"/>
      <c r="K430" s="56" t="n"/>
      <c r="L430" s="56" t="n"/>
      <c r="M430" s="56">
        <f>N430-SUM(C430:L430)</f>
        <v/>
      </c>
      <c r="N430" s="57" t="n"/>
      <c r="O430" s="56" t="n"/>
      <c r="P430" s="56" t="n"/>
      <c r="Q430" s="56" t="n"/>
      <c r="R430" s="56" t="n"/>
      <c r="S430" s="56" t="n"/>
      <c r="T430" s="56" t="n"/>
      <c r="U430" s="56" t="n"/>
      <c r="V430" s="56" t="n"/>
      <c r="W430" s="56" t="n"/>
      <c r="X430" s="56" t="n"/>
    </row>
    <row r="431">
      <c r="A431" s="67" t="n">
        <v>46204</v>
      </c>
      <c r="B431" s="55" t="inlineStr">
        <is>
          <t>N6</t>
        </is>
      </c>
      <c r="C431" s="56" t="n"/>
      <c r="D431" s="56" t="n"/>
      <c r="E431" s="56" t="n"/>
      <c r="F431" s="56" t="n"/>
      <c r="G431" s="56" t="n"/>
      <c r="H431" s="56" t="n"/>
      <c r="I431" s="56" t="n"/>
      <c r="J431" s="56" t="n"/>
      <c r="K431" s="56" t="n"/>
      <c r="L431" s="56" t="n"/>
      <c r="M431" s="56">
        <f>N431-SUM(C431:L431)</f>
        <v/>
      </c>
      <c r="N431" s="57" t="n"/>
      <c r="O431" s="56" t="n"/>
      <c r="P431" s="56" t="n"/>
      <c r="Q431" s="56" t="n"/>
      <c r="R431" s="56" t="n"/>
      <c r="S431" s="56" t="n"/>
      <c r="T431" s="56" t="n"/>
      <c r="U431" s="56" t="n"/>
      <c r="V431" s="56" t="n"/>
      <c r="W431" s="56" t="n"/>
      <c r="X431" s="56" t="n"/>
    </row>
    <row r="432">
      <c r="A432" s="67" t="n">
        <v>46205</v>
      </c>
      <c r="B432" s="55" t="inlineStr">
        <is>
          <t>N6</t>
        </is>
      </c>
      <c r="C432" s="56" t="n"/>
      <c r="D432" s="56" t="n"/>
      <c r="E432" s="56" t="n"/>
      <c r="F432" s="56" t="n"/>
      <c r="G432" s="56" t="n"/>
      <c r="H432" s="56" t="n"/>
      <c r="I432" s="56" t="n"/>
      <c r="J432" s="56" t="n"/>
      <c r="K432" s="56" t="n"/>
      <c r="L432" s="56" t="n"/>
      <c r="M432" s="56">
        <f>N432-SUM(C432:L432)</f>
        <v/>
      </c>
      <c r="N432" s="57" t="n"/>
      <c r="O432" s="56" t="n"/>
      <c r="P432" s="56" t="n"/>
      <c r="Q432" s="56" t="n"/>
      <c r="R432" s="56" t="n"/>
      <c r="S432" s="56" t="n"/>
      <c r="T432" s="56" t="n"/>
      <c r="U432" s="56" t="n"/>
      <c r="V432" s="56" t="n"/>
      <c r="W432" s="56" t="n"/>
      <c r="X432" s="56" t="n"/>
    </row>
    <row r="433">
      <c r="A433" s="67" t="n">
        <v>46206</v>
      </c>
      <c r="B433" s="55" t="inlineStr">
        <is>
          <t>N6</t>
        </is>
      </c>
      <c r="C433" s="56" t="n"/>
      <c r="D433" s="56" t="n"/>
      <c r="E433" s="56" t="n"/>
      <c r="F433" s="56" t="n"/>
      <c r="G433" s="56" t="n"/>
      <c r="H433" s="56" t="n"/>
      <c r="I433" s="56" t="n"/>
      <c r="J433" s="56" t="n"/>
      <c r="K433" s="56" t="n"/>
      <c r="L433" s="56" t="n"/>
      <c r="M433" s="56">
        <f>N433-SUM(C433:L433)</f>
        <v/>
      </c>
      <c r="N433" s="57" t="n"/>
      <c r="O433" s="56" t="n"/>
      <c r="P433" s="56" t="n"/>
      <c r="Q433" s="56" t="n"/>
      <c r="R433" s="56" t="n"/>
      <c r="S433" s="56" t="n"/>
      <c r="T433" s="56" t="n"/>
      <c r="U433" s="56" t="n"/>
      <c r="V433" s="56" t="n"/>
      <c r="W433" s="56" t="n"/>
      <c r="X433" s="56" t="n"/>
    </row>
    <row r="434">
      <c r="A434" s="67" t="n">
        <v>46207</v>
      </c>
      <c r="B434" s="55" t="inlineStr">
        <is>
          <t>N6</t>
        </is>
      </c>
      <c r="C434" s="56" t="n"/>
      <c r="D434" s="56" t="n"/>
      <c r="E434" s="56" t="n"/>
      <c r="F434" s="56" t="n"/>
      <c r="G434" s="56" t="n"/>
      <c r="H434" s="56" t="n"/>
      <c r="I434" s="56" t="n"/>
      <c r="J434" s="56" t="n"/>
      <c r="K434" s="56" t="n"/>
      <c r="L434" s="56" t="n"/>
      <c r="M434" s="56">
        <f>N434-SUM(C434:L434)</f>
        <v/>
      </c>
      <c r="N434" s="57" t="n"/>
      <c r="O434" s="56" t="n"/>
      <c r="P434" s="56" t="n"/>
      <c r="Q434" s="56" t="n"/>
      <c r="R434" s="56" t="n"/>
      <c r="S434" s="56" t="n"/>
      <c r="T434" s="56" t="n"/>
      <c r="U434" s="56" t="n"/>
      <c r="V434" s="56" t="n"/>
      <c r="W434" s="56" t="n"/>
      <c r="X434" s="56" t="n"/>
    </row>
    <row r="435">
      <c r="A435" s="67" t="n">
        <v>46208</v>
      </c>
      <c r="B435" s="55" t="inlineStr">
        <is>
          <t>N6</t>
        </is>
      </c>
      <c r="C435" s="56" t="n"/>
      <c r="D435" s="56" t="n"/>
      <c r="E435" s="56" t="n"/>
      <c r="F435" s="56" t="n"/>
      <c r="G435" s="56" t="n"/>
      <c r="H435" s="56" t="n"/>
      <c r="I435" s="56" t="n"/>
      <c r="J435" s="56" t="n"/>
      <c r="K435" s="56" t="n"/>
      <c r="L435" s="56" t="n"/>
      <c r="M435" s="56">
        <f>N435-SUM(C435:L435)</f>
        <v/>
      </c>
      <c r="N435" s="57" t="n"/>
      <c r="O435" s="56" t="n"/>
      <c r="P435" s="56" t="n"/>
      <c r="Q435" s="56" t="n"/>
      <c r="R435" s="56" t="n"/>
      <c r="S435" s="56" t="n"/>
      <c r="T435" s="56" t="n"/>
      <c r="U435" s="56" t="n"/>
      <c r="V435" s="56" t="n"/>
      <c r="W435" s="56" t="n"/>
      <c r="X435" s="56" t="n"/>
    </row>
    <row r="436">
      <c r="A436" s="67" t="n">
        <v>46209</v>
      </c>
      <c r="B436" s="55" t="inlineStr">
        <is>
          <t>N6</t>
        </is>
      </c>
      <c r="C436" s="56" t="n"/>
      <c r="D436" s="56" t="n"/>
      <c r="E436" s="56" t="n"/>
      <c r="F436" s="56" t="n"/>
      <c r="G436" s="56" t="n"/>
      <c r="H436" s="56" t="n"/>
      <c r="I436" s="56" t="n"/>
      <c r="J436" s="56" t="n"/>
      <c r="K436" s="56" t="n"/>
      <c r="L436" s="56" t="n"/>
      <c r="M436" s="56">
        <f>N436-SUM(C436:L436)</f>
        <v/>
      </c>
      <c r="N436" s="57" t="n"/>
      <c r="O436" s="56" t="n"/>
      <c r="P436" s="56" t="n"/>
      <c r="Q436" s="56" t="n"/>
      <c r="R436" s="56" t="n"/>
      <c r="S436" s="56" t="n"/>
      <c r="T436" s="56" t="n"/>
      <c r="U436" s="56" t="n"/>
      <c r="V436" s="56" t="n"/>
      <c r="W436" s="56" t="n"/>
      <c r="X436" s="56" t="n"/>
    </row>
    <row r="437">
      <c r="A437" s="67" t="n">
        <v>46210</v>
      </c>
      <c r="B437" s="55" t="inlineStr">
        <is>
          <t>N6</t>
        </is>
      </c>
      <c r="C437" s="56" t="n"/>
      <c r="D437" s="56" t="n"/>
      <c r="E437" s="56" t="n"/>
      <c r="F437" s="56" t="n"/>
      <c r="G437" s="56" t="n"/>
      <c r="H437" s="56" t="n"/>
      <c r="I437" s="56" t="n"/>
      <c r="J437" s="56" t="n"/>
      <c r="K437" s="56" t="n"/>
      <c r="L437" s="56" t="n"/>
      <c r="M437" s="56">
        <f>N437-SUM(C437:L437)</f>
        <v/>
      </c>
      <c r="N437" s="57" t="n"/>
      <c r="O437" s="56" t="n"/>
      <c r="P437" s="56" t="n"/>
      <c r="Q437" s="56" t="n"/>
      <c r="R437" s="56" t="n"/>
      <c r="S437" s="56" t="n"/>
      <c r="T437" s="56" t="n"/>
      <c r="U437" s="56" t="n"/>
      <c r="V437" s="56" t="n"/>
      <c r="W437" s="56" t="n"/>
      <c r="X437" s="56" t="n"/>
    </row>
    <row r="438">
      <c r="A438" s="67" t="n">
        <v>46211</v>
      </c>
      <c r="B438" s="55" t="inlineStr">
        <is>
          <t>N6</t>
        </is>
      </c>
      <c r="C438" s="56" t="n"/>
      <c r="D438" s="56" t="n"/>
      <c r="E438" s="56" t="n"/>
      <c r="F438" s="56" t="n"/>
      <c r="G438" s="56" t="n"/>
      <c r="H438" s="56" t="n"/>
      <c r="I438" s="56" t="n"/>
      <c r="J438" s="56" t="n"/>
      <c r="K438" s="56" t="n"/>
      <c r="L438" s="56" t="n"/>
      <c r="M438" s="56">
        <f>N438-SUM(C438:L438)</f>
        <v/>
      </c>
      <c r="N438" s="57" t="n"/>
      <c r="O438" s="56" t="n"/>
      <c r="P438" s="56" t="n"/>
      <c r="Q438" s="56" t="n"/>
      <c r="R438" s="56" t="n"/>
      <c r="S438" s="56" t="n"/>
      <c r="T438" s="56" t="n"/>
      <c r="U438" s="56" t="n"/>
      <c r="V438" s="56" t="n"/>
      <c r="W438" s="56" t="n"/>
      <c r="X438" s="56" t="n"/>
    </row>
    <row r="439">
      <c r="A439" s="67" t="n">
        <v>46212</v>
      </c>
      <c r="B439" s="55" t="inlineStr">
        <is>
          <t>N6</t>
        </is>
      </c>
      <c r="C439" s="56" t="n"/>
      <c r="D439" s="56" t="n"/>
      <c r="E439" s="56" t="n"/>
      <c r="F439" s="56" t="n"/>
      <c r="G439" s="56" t="n"/>
      <c r="H439" s="56" t="n"/>
      <c r="I439" s="56" t="n"/>
      <c r="J439" s="56" t="n"/>
      <c r="K439" s="56" t="n"/>
      <c r="L439" s="56" t="n"/>
      <c r="M439" s="56">
        <f>N439-SUM(C439:L439)</f>
        <v/>
      </c>
      <c r="N439" s="57" t="n"/>
      <c r="O439" s="56" t="n"/>
      <c r="P439" s="56" t="n"/>
      <c r="Q439" s="56" t="n"/>
      <c r="R439" s="56" t="n"/>
      <c r="S439" s="56" t="n"/>
      <c r="T439" s="56" t="n"/>
      <c r="U439" s="56" t="n"/>
      <c r="V439" s="56" t="n"/>
      <c r="W439" s="56" t="n"/>
      <c r="X439" s="56" t="n"/>
    </row>
    <row r="440">
      <c r="A440" s="67" t="n">
        <v>46213</v>
      </c>
      <c r="B440" s="55" t="inlineStr">
        <is>
          <t>N6</t>
        </is>
      </c>
      <c r="C440" s="56" t="n"/>
      <c r="D440" s="56" t="n"/>
      <c r="E440" s="56" t="n"/>
      <c r="F440" s="56" t="n"/>
      <c r="G440" s="56" t="n"/>
      <c r="H440" s="56" t="n"/>
      <c r="I440" s="56" t="n"/>
      <c r="J440" s="56" t="n"/>
      <c r="K440" s="56" t="n"/>
      <c r="L440" s="56" t="n"/>
      <c r="M440" s="56">
        <f>N440-SUM(C440:L440)</f>
        <v/>
      </c>
      <c r="N440" s="57" t="n"/>
      <c r="O440" s="56" t="n"/>
      <c r="P440" s="56" t="n"/>
      <c r="Q440" s="56" t="n"/>
      <c r="R440" s="56" t="n"/>
      <c r="S440" s="56" t="n"/>
      <c r="T440" s="56" t="n"/>
      <c r="U440" s="56" t="n"/>
      <c r="V440" s="56" t="n"/>
      <c r="W440" s="56" t="n"/>
      <c r="X440" s="56" t="n"/>
    </row>
    <row r="441">
      <c r="A441" s="67" t="n">
        <v>46214</v>
      </c>
      <c r="B441" s="55" t="inlineStr">
        <is>
          <t>N6</t>
        </is>
      </c>
      <c r="C441" s="56" t="n"/>
      <c r="D441" s="56" t="n"/>
      <c r="E441" s="56" t="n"/>
      <c r="F441" s="56" t="n"/>
      <c r="G441" s="56" t="n"/>
      <c r="H441" s="56" t="n"/>
      <c r="I441" s="56" t="n"/>
      <c r="J441" s="56" t="n"/>
      <c r="K441" s="56" t="n"/>
      <c r="L441" s="56" t="n"/>
      <c r="M441" s="56">
        <f>N441-SUM(C441:L441)</f>
        <v/>
      </c>
      <c r="N441" s="57" t="n"/>
      <c r="O441" s="56" t="n"/>
      <c r="P441" s="56" t="n"/>
      <c r="Q441" s="56" t="n"/>
      <c r="R441" s="56" t="n"/>
      <c r="S441" s="56" t="n"/>
      <c r="T441" s="56" t="n"/>
      <c r="U441" s="56" t="n"/>
      <c r="V441" s="56" t="n"/>
      <c r="W441" s="56" t="n"/>
      <c r="X441" s="56" t="n"/>
    </row>
    <row r="442">
      <c r="A442" s="67" t="n">
        <v>46215</v>
      </c>
      <c r="B442" s="55" t="inlineStr">
        <is>
          <t>N6</t>
        </is>
      </c>
      <c r="C442" s="56" t="n"/>
      <c r="D442" s="56" t="n"/>
      <c r="E442" s="56" t="n"/>
      <c r="F442" s="56" t="n"/>
      <c r="G442" s="56" t="n"/>
      <c r="H442" s="56" t="n"/>
      <c r="I442" s="56" t="n"/>
      <c r="J442" s="56" t="n"/>
      <c r="K442" s="56" t="n"/>
      <c r="L442" s="56" t="n"/>
      <c r="M442" s="56">
        <f>N442-SUM(C442:L442)</f>
        <v/>
      </c>
      <c r="N442" s="57" t="n"/>
      <c r="O442" s="56" t="n"/>
      <c r="P442" s="56" t="n"/>
      <c r="Q442" s="56" t="n"/>
      <c r="R442" s="56" t="n"/>
      <c r="S442" s="56" t="n"/>
      <c r="T442" s="56" t="n"/>
      <c r="U442" s="56" t="n"/>
      <c r="V442" s="56" t="n"/>
      <c r="W442" s="56" t="n"/>
      <c r="X442" s="56" t="n"/>
    </row>
    <row r="443">
      <c r="A443" s="67" t="n">
        <v>46216</v>
      </c>
      <c r="B443" s="55" t="inlineStr">
        <is>
          <t>N6</t>
        </is>
      </c>
      <c r="C443" s="56" t="n"/>
      <c r="D443" s="56" t="n"/>
      <c r="E443" s="56" t="n"/>
      <c r="F443" s="56" t="n"/>
      <c r="G443" s="56" t="n"/>
      <c r="H443" s="56" t="n"/>
      <c r="I443" s="56" t="n"/>
      <c r="J443" s="56" t="n"/>
      <c r="K443" s="56" t="n"/>
      <c r="L443" s="56" t="n"/>
      <c r="M443" s="56">
        <f>N443-SUM(C443:L443)</f>
        <v/>
      </c>
      <c r="N443" s="57" t="n"/>
      <c r="O443" s="56" t="n"/>
      <c r="P443" s="56" t="n"/>
      <c r="Q443" s="56" t="n"/>
      <c r="R443" s="56" t="n"/>
      <c r="S443" s="56" t="n"/>
      <c r="T443" s="56" t="n"/>
      <c r="U443" s="56" t="n"/>
      <c r="V443" s="56" t="n"/>
      <c r="W443" s="56" t="n"/>
      <c r="X443" s="56" t="n"/>
    </row>
    <row r="444">
      <c r="A444" s="67" t="n">
        <v>46217</v>
      </c>
      <c r="B444" s="55" t="inlineStr">
        <is>
          <t>N6</t>
        </is>
      </c>
      <c r="C444" s="56" t="n"/>
      <c r="D444" s="56" t="n"/>
      <c r="E444" s="56" t="n"/>
      <c r="F444" s="56" t="n"/>
      <c r="G444" s="56" t="n"/>
      <c r="H444" s="56" t="n"/>
      <c r="I444" s="56" t="n"/>
      <c r="J444" s="56" t="n"/>
      <c r="K444" s="56" t="n"/>
      <c r="L444" s="56" t="n"/>
      <c r="M444" s="56">
        <f>N444-SUM(C444:L444)</f>
        <v/>
      </c>
      <c r="N444" s="57" t="n"/>
      <c r="O444" s="56" t="n"/>
      <c r="P444" s="56" t="n"/>
      <c r="Q444" s="56" t="n"/>
      <c r="R444" s="56" t="n"/>
      <c r="S444" s="56" t="n"/>
      <c r="T444" s="56" t="n"/>
      <c r="U444" s="56" t="n"/>
      <c r="V444" s="56" t="n"/>
      <c r="W444" s="56" t="n"/>
      <c r="X444" s="56" t="n"/>
    </row>
    <row r="445">
      <c r="A445" s="67" t="n">
        <v>46218</v>
      </c>
      <c r="B445" s="55" t="inlineStr">
        <is>
          <t>N6</t>
        </is>
      </c>
      <c r="C445" s="56" t="n"/>
      <c r="D445" s="56" t="n"/>
      <c r="E445" s="56" t="n"/>
      <c r="F445" s="56" t="n"/>
      <c r="G445" s="56" t="n"/>
      <c r="H445" s="56" t="n"/>
      <c r="I445" s="56" t="n"/>
      <c r="J445" s="56" t="n"/>
      <c r="K445" s="56" t="n"/>
      <c r="L445" s="56" t="n"/>
      <c r="M445" s="56">
        <f>N445-SUM(C445:L445)</f>
        <v/>
      </c>
      <c r="N445" s="57" t="n"/>
      <c r="O445" s="56" t="n"/>
      <c r="P445" s="56" t="n"/>
      <c r="Q445" s="56" t="n"/>
      <c r="R445" s="56" t="n"/>
      <c r="S445" s="56" t="n"/>
      <c r="T445" s="56" t="n"/>
      <c r="U445" s="56" t="n"/>
      <c r="V445" s="56" t="n"/>
      <c r="W445" s="56" t="n"/>
      <c r="X445" s="56" t="n"/>
    </row>
    <row r="446">
      <c r="A446" s="67" t="n">
        <v>46219</v>
      </c>
      <c r="B446" s="55" t="inlineStr">
        <is>
          <t>N6</t>
        </is>
      </c>
      <c r="C446" s="56" t="n"/>
      <c r="D446" s="56" t="n"/>
      <c r="E446" s="56" t="n"/>
      <c r="F446" s="56" t="n"/>
      <c r="G446" s="56" t="n"/>
      <c r="H446" s="56" t="n"/>
      <c r="I446" s="56" t="n"/>
      <c r="J446" s="56" t="n"/>
      <c r="K446" s="56" t="n"/>
      <c r="L446" s="56" t="n"/>
      <c r="M446" s="56">
        <f>N446-SUM(C446:L446)</f>
        <v/>
      </c>
      <c r="N446" s="57" t="n"/>
      <c r="O446" s="56" t="n"/>
      <c r="P446" s="56" t="n"/>
      <c r="Q446" s="56" t="n"/>
      <c r="R446" s="56" t="n"/>
      <c r="S446" s="56" t="n"/>
      <c r="T446" s="56" t="n"/>
      <c r="U446" s="56" t="n"/>
      <c r="V446" s="56" t="n"/>
      <c r="W446" s="56" t="n"/>
      <c r="X446" s="56" t="n"/>
    </row>
    <row r="447">
      <c r="A447" s="67" t="n">
        <v>46220</v>
      </c>
      <c r="B447" s="55" t="inlineStr">
        <is>
          <t>N6</t>
        </is>
      </c>
      <c r="C447" s="56" t="n"/>
      <c r="D447" s="56" t="n"/>
      <c r="E447" s="56" t="n"/>
      <c r="F447" s="56" t="n"/>
      <c r="G447" s="56" t="n"/>
      <c r="H447" s="56" t="n"/>
      <c r="I447" s="56" t="n"/>
      <c r="J447" s="56" t="n"/>
      <c r="K447" s="56" t="n"/>
      <c r="L447" s="56" t="n"/>
      <c r="M447" s="56">
        <f>N447-SUM(C447:L447)</f>
        <v/>
      </c>
      <c r="N447" s="57" t="n"/>
      <c r="O447" s="56" t="n"/>
      <c r="P447" s="56" t="n"/>
      <c r="Q447" s="56" t="n"/>
      <c r="R447" s="56" t="n"/>
      <c r="S447" s="56" t="n"/>
      <c r="T447" s="56" t="n"/>
      <c r="U447" s="56" t="n"/>
      <c r="V447" s="56" t="n"/>
      <c r="W447" s="56" t="n"/>
      <c r="X447" s="56" t="n"/>
    </row>
    <row r="448">
      <c r="A448" s="67" t="n">
        <v>46221</v>
      </c>
      <c r="B448" s="55" t="inlineStr">
        <is>
          <t>N6</t>
        </is>
      </c>
      <c r="C448" s="56" t="n"/>
      <c r="D448" s="56" t="n"/>
      <c r="E448" s="56" t="n"/>
      <c r="F448" s="56" t="n"/>
      <c r="G448" s="56" t="n"/>
      <c r="H448" s="56" t="n"/>
      <c r="I448" s="56" t="n"/>
      <c r="J448" s="56" t="n"/>
      <c r="K448" s="56" t="n"/>
      <c r="L448" s="56" t="n"/>
      <c r="M448" s="56">
        <f>N448-SUM(C448:L448)</f>
        <v/>
      </c>
      <c r="N448" s="57" t="n"/>
      <c r="O448" s="56" t="n"/>
      <c r="P448" s="56" t="n"/>
      <c r="Q448" s="56" t="n"/>
      <c r="R448" s="56" t="n"/>
      <c r="S448" s="56" t="n"/>
      <c r="T448" s="56" t="n"/>
      <c r="U448" s="56" t="n"/>
      <c r="V448" s="56" t="n"/>
      <c r="W448" s="56" t="n"/>
      <c r="X448" s="56" t="n"/>
    </row>
    <row r="449">
      <c r="A449" s="67" t="n">
        <v>46222</v>
      </c>
      <c r="B449" s="55" t="inlineStr">
        <is>
          <t>N6</t>
        </is>
      </c>
      <c r="C449" s="56" t="n"/>
      <c r="D449" s="56" t="n"/>
      <c r="E449" s="56" t="n"/>
      <c r="F449" s="56" t="n"/>
      <c r="G449" s="56" t="n"/>
      <c r="H449" s="56" t="n"/>
      <c r="I449" s="56" t="n"/>
      <c r="J449" s="56" t="n"/>
      <c r="K449" s="56" t="n"/>
      <c r="L449" s="56" t="n"/>
      <c r="M449" s="56">
        <f>N449-SUM(C449:L449)</f>
        <v/>
      </c>
      <c r="N449" s="57" t="n"/>
      <c r="O449" s="56" t="n"/>
      <c r="P449" s="56" t="n"/>
      <c r="Q449" s="56" t="n"/>
      <c r="R449" s="56" t="n"/>
      <c r="S449" s="56" t="n"/>
      <c r="T449" s="56" t="n"/>
      <c r="U449" s="56" t="n"/>
      <c r="V449" s="56" t="n"/>
      <c r="W449" s="56" t="n"/>
      <c r="X449" s="56" t="n"/>
    </row>
    <row r="450">
      <c r="A450" s="67" t="n">
        <v>46223</v>
      </c>
      <c r="B450" s="55" t="inlineStr">
        <is>
          <t>N6</t>
        </is>
      </c>
      <c r="C450" s="56" t="n"/>
      <c r="D450" s="56" t="n"/>
      <c r="E450" s="56" t="n"/>
      <c r="F450" s="56" t="n"/>
      <c r="G450" s="56" t="n"/>
      <c r="H450" s="56" t="n"/>
      <c r="I450" s="56" t="n"/>
      <c r="J450" s="56" t="n"/>
      <c r="K450" s="56" t="n"/>
      <c r="L450" s="56" t="n"/>
      <c r="M450" s="56">
        <f>N450-SUM(C450:L450)</f>
        <v/>
      </c>
      <c r="N450" s="57" t="n"/>
      <c r="O450" s="56" t="n"/>
      <c r="P450" s="56" t="n"/>
      <c r="Q450" s="56" t="n"/>
      <c r="R450" s="56" t="n"/>
      <c r="S450" s="56" t="n"/>
      <c r="T450" s="56" t="n"/>
      <c r="U450" s="56" t="n"/>
      <c r="V450" s="56" t="n"/>
      <c r="W450" s="56" t="n"/>
      <c r="X450" s="56" t="n"/>
    </row>
    <row r="451">
      <c r="A451" s="67" t="n">
        <v>46224</v>
      </c>
      <c r="B451" s="55" t="inlineStr">
        <is>
          <t>N6</t>
        </is>
      </c>
      <c r="C451" s="56" t="n"/>
      <c r="D451" s="56" t="n"/>
      <c r="E451" s="56" t="n"/>
      <c r="F451" s="56" t="n"/>
      <c r="G451" s="56" t="n"/>
      <c r="H451" s="56" t="n"/>
      <c r="I451" s="56" t="n"/>
      <c r="J451" s="56" t="n"/>
      <c r="K451" s="56" t="n"/>
      <c r="L451" s="56" t="n"/>
      <c r="M451" s="56">
        <f>N451-SUM(C451:L451)</f>
        <v/>
      </c>
      <c r="N451" s="57" t="n"/>
      <c r="O451" s="56" t="n"/>
      <c r="P451" s="56" t="n"/>
      <c r="Q451" s="56" t="n"/>
      <c r="R451" s="56" t="n"/>
      <c r="S451" s="56" t="n"/>
      <c r="T451" s="56" t="n"/>
      <c r="U451" s="56" t="n"/>
      <c r="V451" s="56" t="n"/>
      <c r="W451" s="56" t="n"/>
      <c r="X451" s="56" t="n"/>
    </row>
    <row r="452">
      <c r="A452" s="67" t="n">
        <v>46225</v>
      </c>
      <c r="B452" s="55" t="inlineStr">
        <is>
          <t>N6</t>
        </is>
      </c>
      <c r="C452" s="56" t="n"/>
      <c r="D452" s="56" t="n"/>
      <c r="E452" s="56" t="n"/>
      <c r="F452" s="56" t="n"/>
      <c r="G452" s="56" t="n"/>
      <c r="H452" s="56" t="n"/>
      <c r="I452" s="56" t="n"/>
      <c r="J452" s="56" t="n"/>
      <c r="K452" s="56" t="n"/>
      <c r="L452" s="56" t="n"/>
      <c r="M452" s="56">
        <f>N452-SUM(C452:L452)</f>
        <v/>
      </c>
      <c r="N452" s="57" t="n"/>
      <c r="O452" s="56" t="n"/>
      <c r="P452" s="56" t="n"/>
      <c r="Q452" s="56" t="n"/>
      <c r="R452" s="56" t="n"/>
      <c r="S452" s="56" t="n"/>
      <c r="T452" s="56" t="n"/>
      <c r="U452" s="56" t="n"/>
      <c r="V452" s="56" t="n"/>
      <c r="W452" s="56" t="n"/>
      <c r="X452" s="56" t="n"/>
    </row>
    <row r="453">
      <c r="A453" s="67" t="n">
        <v>46226</v>
      </c>
      <c r="B453" s="55" t="inlineStr">
        <is>
          <t>N6</t>
        </is>
      </c>
      <c r="C453" s="56" t="n"/>
      <c r="D453" s="56" t="n"/>
      <c r="E453" s="56" t="n"/>
      <c r="F453" s="56" t="n"/>
      <c r="G453" s="56" t="n"/>
      <c r="H453" s="56" t="n"/>
      <c r="I453" s="56" t="n"/>
      <c r="J453" s="56" t="n"/>
      <c r="K453" s="56" t="n"/>
      <c r="L453" s="56" t="n"/>
      <c r="M453" s="56">
        <f>N453-SUM(C453:L453)</f>
        <v/>
      </c>
      <c r="N453" s="57" t="n"/>
      <c r="O453" s="56" t="n"/>
      <c r="P453" s="56" t="n"/>
      <c r="Q453" s="56" t="n"/>
      <c r="R453" s="56" t="n"/>
      <c r="S453" s="56" t="n"/>
      <c r="T453" s="56" t="n"/>
      <c r="U453" s="56" t="n"/>
      <c r="V453" s="56" t="n"/>
      <c r="W453" s="56" t="n"/>
      <c r="X453" s="56" t="n"/>
    </row>
    <row r="454">
      <c r="A454" s="67" t="n">
        <v>46227</v>
      </c>
      <c r="B454" s="55" t="inlineStr">
        <is>
          <t>N6</t>
        </is>
      </c>
      <c r="C454" s="56" t="n"/>
      <c r="D454" s="56" t="n"/>
      <c r="E454" s="56" t="n"/>
      <c r="F454" s="56" t="n"/>
      <c r="G454" s="56" t="n"/>
      <c r="H454" s="56" t="n"/>
      <c r="I454" s="56" t="n"/>
      <c r="J454" s="56" t="n"/>
      <c r="K454" s="56" t="n"/>
      <c r="L454" s="56" t="n"/>
      <c r="M454" s="56">
        <f>N454-SUM(C454:L454)</f>
        <v/>
      </c>
      <c r="N454" s="57" t="n"/>
      <c r="O454" s="56" t="n"/>
      <c r="P454" s="56" t="n"/>
      <c r="Q454" s="56" t="n"/>
      <c r="R454" s="56" t="n"/>
      <c r="S454" s="56" t="n"/>
      <c r="T454" s="56" t="n"/>
      <c r="U454" s="56" t="n"/>
      <c r="V454" s="56" t="n"/>
      <c r="W454" s="56" t="n"/>
      <c r="X454" s="56" t="n"/>
    </row>
    <row r="455">
      <c r="A455" s="67" t="n">
        <v>46228</v>
      </c>
      <c r="B455" s="55" t="inlineStr">
        <is>
          <t>N6</t>
        </is>
      </c>
      <c r="C455" s="56" t="n"/>
      <c r="D455" s="56" t="n"/>
      <c r="E455" s="56" t="n"/>
      <c r="F455" s="56" t="n"/>
      <c r="G455" s="56" t="n"/>
      <c r="H455" s="56" t="n"/>
      <c r="I455" s="56" t="n"/>
      <c r="J455" s="56" t="n"/>
      <c r="K455" s="56" t="n"/>
      <c r="L455" s="56" t="n"/>
      <c r="M455" s="56">
        <f>N455-SUM(C455:L455)</f>
        <v/>
      </c>
      <c r="N455" s="57" t="n"/>
      <c r="O455" s="56" t="n"/>
      <c r="P455" s="56" t="n"/>
      <c r="Q455" s="56" t="n"/>
      <c r="R455" s="56" t="n"/>
      <c r="S455" s="56" t="n"/>
      <c r="T455" s="56" t="n"/>
      <c r="U455" s="56" t="n"/>
      <c r="V455" s="56" t="n"/>
      <c r="W455" s="56" t="n"/>
      <c r="X455" s="56" t="n"/>
    </row>
    <row r="456">
      <c r="A456" s="67" t="n">
        <v>46229</v>
      </c>
      <c r="B456" s="55" t="inlineStr">
        <is>
          <t>N6</t>
        </is>
      </c>
      <c r="C456" s="56" t="n"/>
      <c r="D456" s="56" t="n"/>
      <c r="E456" s="56" t="n"/>
      <c r="F456" s="56" t="n"/>
      <c r="G456" s="56" t="n"/>
      <c r="H456" s="56" t="n"/>
      <c r="I456" s="56" t="n"/>
      <c r="J456" s="56" t="n"/>
      <c r="K456" s="56" t="n"/>
      <c r="L456" s="56" t="n"/>
      <c r="M456" s="56">
        <f>N456-SUM(C456:L456)</f>
        <v/>
      </c>
      <c r="N456" s="57" t="n"/>
      <c r="O456" s="56" t="n"/>
      <c r="P456" s="56" t="n"/>
      <c r="Q456" s="56" t="n"/>
      <c r="R456" s="56" t="n"/>
      <c r="S456" s="56" t="n"/>
      <c r="T456" s="56" t="n"/>
      <c r="U456" s="56" t="n"/>
      <c r="V456" s="56" t="n"/>
      <c r="W456" s="56" t="n"/>
      <c r="X456" s="56" t="n"/>
    </row>
    <row r="457">
      <c r="A457" s="67" t="n">
        <v>46230</v>
      </c>
      <c r="B457" s="55" t="inlineStr">
        <is>
          <t>N6</t>
        </is>
      </c>
      <c r="C457" s="56" t="n"/>
      <c r="D457" s="56" t="n"/>
      <c r="E457" s="56" t="n"/>
      <c r="F457" s="56" t="n"/>
      <c r="G457" s="56" t="n"/>
      <c r="H457" s="56" t="n"/>
      <c r="I457" s="56" t="n"/>
      <c r="J457" s="56" t="n"/>
      <c r="K457" s="56" t="n"/>
      <c r="L457" s="56" t="n"/>
      <c r="M457" s="56">
        <f>N457-SUM(C457:L457)</f>
        <v/>
      </c>
      <c r="N457" s="57" t="n"/>
      <c r="O457" s="56" t="n"/>
      <c r="P457" s="56" t="n"/>
      <c r="Q457" s="56" t="n"/>
      <c r="R457" s="56" t="n"/>
      <c r="S457" s="56" t="n"/>
      <c r="T457" s="56" t="n"/>
      <c r="U457" s="56" t="n"/>
      <c r="V457" s="56" t="n"/>
      <c r="W457" s="56" t="n"/>
      <c r="X457" s="56" t="n"/>
    </row>
    <row r="458">
      <c r="A458" s="67" t="n">
        <v>46231</v>
      </c>
      <c r="B458" s="55" t="inlineStr">
        <is>
          <t>N6</t>
        </is>
      </c>
      <c r="C458" s="56" t="n"/>
      <c r="D458" s="56" t="n"/>
      <c r="E458" s="56" t="n"/>
      <c r="F458" s="56" t="n"/>
      <c r="G458" s="56" t="n"/>
      <c r="H458" s="56" t="n"/>
      <c r="I458" s="56" t="n"/>
      <c r="J458" s="56" t="n"/>
      <c r="K458" s="56" t="n"/>
      <c r="L458" s="56" t="n"/>
      <c r="M458" s="56">
        <f>N458-SUM(C458:L458)</f>
        <v/>
      </c>
      <c r="N458" s="57" t="n"/>
      <c r="O458" s="56" t="n"/>
      <c r="P458" s="56" t="n"/>
      <c r="Q458" s="56" t="n"/>
      <c r="R458" s="56" t="n"/>
      <c r="S458" s="56" t="n"/>
      <c r="T458" s="56" t="n"/>
      <c r="U458" s="56" t="n"/>
      <c r="V458" s="56" t="n"/>
      <c r="W458" s="56" t="n"/>
      <c r="X458" s="56" t="n"/>
    </row>
    <row r="459">
      <c r="A459" s="67" t="n">
        <v>46232</v>
      </c>
      <c r="B459" s="55" t="inlineStr">
        <is>
          <t>N6</t>
        </is>
      </c>
      <c r="C459" s="56" t="n"/>
      <c r="D459" s="56" t="n"/>
      <c r="E459" s="56" t="n"/>
      <c r="F459" s="56" t="n"/>
      <c r="G459" s="56" t="n"/>
      <c r="H459" s="56" t="n"/>
      <c r="I459" s="56" t="n"/>
      <c r="J459" s="56" t="n"/>
      <c r="K459" s="56" t="n"/>
      <c r="L459" s="56" t="n"/>
      <c r="M459" s="56">
        <f>N459-SUM(C459:L459)</f>
        <v/>
      </c>
      <c r="N459" s="57" t="n"/>
      <c r="O459" s="56" t="n"/>
      <c r="P459" s="56" t="n"/>
      <c r="Q459" s="56" t="n"/>
      <c r="R459" s="56" t="n"/>
      <c r="S459" s="56" t="n"/>
      <c r="T459" s="56" t="n"/>
      <c r="U459" s="56" t="n"/>
      <c r="V459" s="56" t="n"/>
      <c r="W459" s="56" t="n"/>
      <c r="X459" s="56" t="n"/>
    </row>
    <row r="460">
      <c r="A460" s="67" t="n">
        <v>46233</v>
      </c>
      <c r="B460" s="55" t="inlineStr">
        <is>
          <t>N6</t>
        </is>
      </c>
      <c r="C460" s="56" t="n"/>
      <c r="D460" s="56" t="n"/>
      <c r="E460" s="56" t="n"/>
      <c r="F460" s="56" t="n"/>
      <c r="G460" s="56" t="n"/>
      <c r="H460" s="56" t="n"/>
      <c r="I460" s="56" t="n"/>
      <c r="J460" s="56" t="n"/>
      <c r="K460" s="56" t="n"/>
      <c r="L460" s="56" t="n"/>
      <c r="M460" s="56">
        <f>N460-SUM(C460:L460)</f>
        <v/>
      </c>
      <c r="N460" s="57" t="n"/>
      <c r="O460" s="56" t="n"/>
      <c r="P460" s="56" t="n"/>
      <c r="Q460" s="56" t="n"/>
      <c r="R460" s="56" t="n"/>
      <c r="S460" s="56" t="n"/>
      <c r="T460" s="56" t="n"/>
      <c r="U460" s="56" t="n"/>
      <c r="V460" s="56" t="n"/>
      <c r="W460" s="56" t="n"/>
      <c r="X460" s="56" t="n"/>
    </row>
    <row r="461">
      <c r="A461" s="67" t="n">
        <v>46234</v>
      </c>
      <c r="B461" s="55" t="inlineStr">
        <is>
          <t>N6</t>
        </is>
      </c>
      <c r="C461" s="56" t="n"/>
      <c r="D461" s="56" t="n"/>
      <c r="E461" s="56" t="n"/>
      <c r="F461" s="56" t="n"/>
      <c r="G461" s="56" t="n"/>
      <c r="H461" s="56" t="n"/>
      <c r="I461" s="56" t="n"/>
      <c r="J461" s="56" t="n"/>
      <c r="K461" s="56" t="n"/>
      <c r="L461" s="56" t="n"/>
      <c r="M461" s="56">
        <f>N461-SUM(C461:L461)</f>
        <v/>
      </c>
      <c r="N461" s="57" t="n"/>
      <c r="O461" s="56" t="n"/>
      <c r="P461" s="56" t="n"/>
      <c r="Q461" s="56" t="n"/>
      <c r="R461" s="56" t="n"/>
      <c r="S461" s="56" t="n"/>
      <c r="T461" s="56" t="n"/>
      <c r="U461" s="56" t="n"/>
      <c r="V461" s="56" t="n"/>
      <c r="W461" s="56" t="n"/>
      <c r="X461" s="56" t="n"/>
    </row>
    <row r="462">
      <c r="A462" s="67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7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7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7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7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7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7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7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7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7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7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7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7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7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7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7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7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7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7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7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7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7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7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7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7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7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7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7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7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7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7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7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7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7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7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7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7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7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7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7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7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7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7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7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7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7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7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7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7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7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7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7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7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7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7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7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7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7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7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7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7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7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7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7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7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7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7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7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7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7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7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7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7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7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7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7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7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7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7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7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7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7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7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7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7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7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7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7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7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7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7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7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7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7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7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7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7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7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7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7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7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7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7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7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7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7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7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7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7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7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7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7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7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7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7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7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7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7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7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7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7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7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7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7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7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7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7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7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7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7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7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7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7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7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7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7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7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7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7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7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7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7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7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7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7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7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7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7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7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7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7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7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7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7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7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7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7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7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7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7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7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7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7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7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7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7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7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7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7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7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7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7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7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7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7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7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7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7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7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7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7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7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7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7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7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7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7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7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7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7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7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7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7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7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7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7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7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7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7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7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7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7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7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7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7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7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7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7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7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7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7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7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7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7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7" t="n">
        <v>46143</v>
      </c>
      <c r="B676" s="55" t="inlineStr">
        <is>
          <t>天籁·鸿蒙座舱</t>
        </is>
      </c>
      <c r="C676" s="63" t="n"/>
      <c r="D676" s="63" t="n"/>
      <c r="E676" s="63" t="n"/>
      <c r="F676" s="63" t="n"/>
      <c r="G676" s="63" t="n"/>
      <c r="H676" s="63" t="n"/>
      <c r="I676" s="63" t="n"/>
      <c r="J676" s="63" t="n"/>
      <c r="K676" s="63" t="n"/>
      <c r="L676" s="63" t="n"/>
      <c r="M676" s="56">
        <f>N676-SUM(C676:L676)</f>
        <v/>
      </c>
      <c r="N676" s="57" t="n">
        <v>4457</v>
      </c>
      <c r="O676" s="64" t="n">
        <v>115</v>
      </c>
      <c r="P676" s="64" t="n">
        <v>1</v>
      </c>
      <c r="Q676" s="64" t="n">
        <v>1189</v>
      </c>
      <c r="R676" s="64" t="n">
        <v>245</v>
      </c>
      <c r="S676" s="64" t="n">
        <v>350</v>
      </c>
      <c r="T676" s="64" t="n">
        <v>280</v>
      </c>
      <c r="U676" s="64" t="n">
        <v>945</v>
      </c>
      <c r="V676" s="64" t="n">
        <v>492</v>
      </c>
      <c r="W676" s="64" t="n">
        <v>840</v>
      </c>
      <c r="X676" s="64" t="n">
        <v>0</v>
      </c>
    </row>
    <row r="677">
      <c r="A677" s="67" t="n">
        <v>46144</v>
      </c>
      <c r="B677" s="55" t="inlineStr">
        <is>
          <t>天籁·鸿蒙座舱</t>
        </is>
      </c>
      <c r="C677" s="63" t="n"/>
      <c r="D677" s="63" t="n"/>
      <c r="E677" s="63" t="n"/>
      <c r="F677" s="63" t="n"/>
      <c r="G677" s="63" t="n"/>
      <c r="H677" s="63" t="n"/>
      <c r="I677" s="63" t="n"/>
      <c r="J677" s="63" t="n"/>
      <c r="K677" s="63" t="n"/>
      <c r="L677" s="63" t="n"/>
      <c r="M677" s="56">
        <f>N677-SUM(C677:L677)</f>
        <v/>
      </c>
      <c r="N677" s="57" t="n">
        <v>4448</v>
      </c>
      <c r="O677" s="64" t="n">
        <v>115</v>
      </c>
      <c r="P677" s="64" t="n">
        <v>1</v>
      </c>
      <c r="Q677" s="64" t="n">
        <v>1189</v>
      </c>
      <c r="R677" s="64" t="n">
        <v>245</v>
      </c>
      <c r="S677" s="64" t="n">
        <v>350</v>
      </c>
      <c r="T677" s="64" t="n">
        <v>280</v>
      </c>
      <c r="U677" s="64" t="n">
        <v>943</v>
      </c>
      <c r="V677" s="64" t="n">
        <v>492</v>
      </c>
      <c r="W677" s="64" t="n">
        <v>833</v>
      </c>
      <c r="X677" s="64" t="n">
        <v>0</v>
      </c>
    </row>
    <row r="678">
      <c r="A678" s="67" t="n">
        <v>46145</v>
      </c>
      <c r="B678" s="55" t="inlineStr">
        <is>
          <t>天籁·鸿蒙座舱</t>
        </is>
      </c>
      <c r="C678" s="63" t="n"/>
      <c r="D678" s="63" t="n"/>
      <c r="E678" s="63" t="n"/>
      <c r="F678" s="63" t="n"/>
      <c r="G678" s="63" t="n"/>
      <c r="H678" s="63" t="n"/>
      <c r="I678" s="63" t="n"/>
      <c r="J678" s="63" t="n"/>
      <c r="K678" s="63" t="n"/>
      <c r="L678" s="63" t="n"/>
      <c r="M678" s="56">
        <f>N678-SUM(C678:L678)</f>
        <v/>
      </c>
      <c r="N678" s="57" t="n">
        <v>4439</v>
      </c>
      <c r="O678" s="64" t="n">
        <v>115</v>
      </c>
      <c r="P678" s="64" t="n">
        <v>1</v>
      </c>
      <c r="Q678" s="64" t="n">
        <v>1189</v>
      </c>
      <c r="R678" s="64" t="n">
        <v>245</v>
      </c>
      <c r="S678" s="64" t="n">
        <v>350</v>
      </c>
      <c r="T678" s="64" t="n">
        <v>280</v>
      </c>
      <c r="U678" s="64" t="n">
        <v>935</v>
      </c>
      <c r="V678" s="64" t="n">
        <v>492</v>
      </c>
      <c r="W678" s="64" t="n">
        <v>832</v>
      </c>
      <c r="X678" s="64" t="n">
        <v>0</v>
      </c>
    </row>
    <row r="679">
      <c r="A679" s="67" t="n">
        <v>46146</v>
      </c>
      <c r="B679" s="55" t="inlineStr">
        <is>
          <t>天籁·鸿蒙座舱</t>
        </is>
      </c>
      <c r="C679" s="63" t="n"/>
      <c r="D679" s="63" t="n"/>
      <c r="E679" s="63" t="n"/>
      <c r="F679" s="63" t="n"/>
      <c r="G679" s="63" t="n"/>
      <c r="H679" s="63" t="n"/>
      <c r="I679" s="63" t="n"/>
      <c r="J679" s="63" t="n"/>
      <c r="K679" s="63" t="n"/>
      <c r="L679" s="63" t="n"/>
      <c r="M679" s="56">
        <f>N679-SUM(C679:L679)</f>
        <v/>
      </c>
      <c r="N679" s="57" t="n">
        <v>4270</v>
      </c>
      <c r="O679" s="64" t="n">
        <v>114</v>
      </c>
      <c r="P679" s="64" t="n">
        <v>1</v>
      </c>
      <c r="Q679" s="64" t="n">
        <v>1189</v>
      </c>
      <c r="R679" s="64" t="n">
        <v>245</v>
      </c>
      <c r="S679" s="64" t="n">
        <v>350</v>
      </c>
      <c r="T679" s="64" t="n">
        <v>280</v>
      </c>
      <c r="U679" s="64" t="n">
        <v>786</v>
      </c>
      <c r="V679" s="64" t="n">
        <v>492</v>
      </c>
      <c r="W679" s="64" t="n">
        <v>813</v>
      </c>
      <c r="X679" s="64" t="n">
        <v>0</v>
      </c>
    </row>
    <row r="680">
      <c r="A680" s="67" t="n">
        <v>46147</v>
      </c>
      <c r="B680" s="55" t="inlineStr">
        <is>
          <t>天籁·鸿蒙座舱</t>
        </is>
      </c>
      <c r="C680" s="63" t="n"/>
      <c r="D680" s="63" t="n"/>
      <c r="E680" s="63" t="n"/>
      <c r="F680" s="63" t="n"/>
      <c r="G680" s="63" t="n"/>
      <c r="H680" s="63" t="n"/>
      <c r="I680" s="63" t="n"/>
      <c r="J680" s="63" t="n"/>
      <c r="K680" s="63" t="n"/>
      <c r="L680" s="63" t="n"/>
      <c r="M680" s="56">
        <f>N680-SUM(C680:L680)</f>
        <v/>
      </c>
      <c r="N680" s="57" t="n">
        <v>3915</v>
      </c>
      <c r="O680" s="64" t="n">
        <v>114</v>
      </c>
      <c r="P680" s="64" t="n">
        <v>1</v>
      </c>
      <c r="Q680" s="64" t="n">
        <v>1189</v>
      </c>
      <c r="R680" s="64" t="n">
        <v>245</v>
      </c>
      <c r="S680" s="64" t="n">
        <v>330</v>
      </c>
      <c r="T680" s="64" t="n">
        <v>307</v>
      </c>
      <c r="U680" s="64" t="n">
        <v>479</v>
      </c>
      <c r="V680" s="64" t="n">
        <v>492</v>
      </c>
      <c r="W680" s="64" t="n">
        <v>758</v>
      </c>
      <c r="X680" s="64" t="n">
        <v>0</v>
      </c>
    </row>
    <row r="681">
      <c r="A681" s="67" t="n">
        <v>46148</v>
      </c>
      <c r="B681" s="55" t="inlineStr">
        <is>
          <t>天籁·鸿蒙座舱</t>
        </is>
      </c>
      <c r="C681" s="63" t="n"/>
      <c r="D681" s="63" t="n"/>
      <c r="E681" s="63" t="n"/>
      <c r="F681" s="63" t="n"/>
      <c r="G681" s="63" t="n"/>
      <c r="H681" s="63" t="n"/>
      <c r="I681" s="63" t="n"/>
      <c r="J681" s="63" t="n"/>
      <c r="K681" s="63" t="n"/>
      <c r="L681" s="63" t="n"/>
      <c r="M681" s="56">
        <f>N681-SUM(C681:L681)</f>
        <v/>
      </c>
      <c r="N681" s="57" t="n">
        <v>3161</v>
      </c>
      <c r="O681" s="64" t="n">
        <v>60</v>
      </c>
      <c r="P681" s="64" t="n">
        <v>0</v>
      </c>
      <c r="Q681" s="64" t="n">
        <v>798</v>
      </c>
      <c r="R681" s="64" t="n">
        <v>245</v>
      </c>
      <c r="S681" s="64" t="n">
        <v>337</v>
      </c>
      <c r="T681" s="64" t="n">
        <v>350</v>
      </c>
      <c r="U681" s="64" t="n">
        <v>29</v>
      </c>
      <c r="V681" s="64" t="n">
        <v>492</v>
      </c>
      <c r="W681" s="64" t="n">
        <v>718</v>
      </c>
      <c r="X681" s="64" t="n">
        <v>132</v>
      </c>
    </row>
    <row r="682">
      <c r="A682" s="67" t="n">
        <v>46149</v>
      </c>
      <c r="B682" s="55" t="inlineStr">
        <is>
          <t>天籁·鸿蒙座舱</t>
        </is>
      </c>
      <c r="C682" s="63" t="n"/>
      <c r="D682" s="63" t="n"/>
      <c r="E682" s="63" t="n"/>
      <c r="F682" s="63" t="n"/>
      <c r="G682" s="63" t="n"/>
      <c r="H682" s="63" t="n"/>
      <c r="I682" s="63" t="n"/>
      <c r="J682" s="63" t="n"/>
      <c r="K682" s="63" t="n"/>
      <c r="L682" s="63" t="n"/>
      <c r="M682" s="56">
        <f>N682-SUM(C682:L682)</f>
        <v/>
      </c>
      <c r="N682" s="57" t="n">
        <v>3113</v>
      </c>
      <c r="O682" s="64" t="n">
        <v>60</v>
      </c>
      <c r="P682" s="64" t="n">
        <v>0</v>
      </c>
      <c r="Q682" s="64" t="n">
        <v>793</v>
      </c>
      <c r="R682" s="64" t="n">
        <v>245</v>
      </c>
      <c r="S682" s="64" t="n">
        <v>344</v>
      </c>
      <c r="T682" s="64" t="n">
        <v>350</v>
      </c>
      <c r="U682" s="64" t="n">
        <v>0</v>
      </c>
      <c r="V682" s="64" t="n">
        <v>492</v>
      </c>
      <c r="W682" s="64" t="n">
        <v>697</v>
      </c>
      <c r="X682" s="64" t="n">
        <v>132</v>
      </c>
    </row>
    <row r="683">
      <c r="A683" s="67" t="n">
        <v>46150</v>
      </c>
      <c r="B683" s="55" t="inlineStr">
        <is>
          <t>天籁·鸿蒙座舱</t>
        </is>
      </c>
      <c r="C683" s="63" t="n"/>
      <c r="D683" s="63" t="n"/>
      <c r="E683" s="63" t="n"/>
      <c r="F683" s="63" t="n"/>
      <c r="G683" s="63" t="n"/>
      <c r="H683" s="63" t="n"/>
      <c r="I683" s="63" t="n"/>
      <c r="J683" s="63" t="n"/>
      <c r="K683" s="63" t="n"/>
      <c r="L683" s="63" t="n"/>
      <c r="M683" s="56">
        <f>N683-SUM(C683:L683)</f>
        <v/>
      </c>
      <c r="N683" s="57" t="n">
        <v>3099</v>
      </c>
      <c r="O683" s="64" t="n">
        <v>60</v>
      </c>
      <c r="P683" s="64" t="n">
        <v>0</v>
      </c>
      <c r="Q683" s="64" t="n">
        <v>793</v>
      </c>
      <c r="R683" s="64" t="n">
        <v>245</v>
      </c>
      <c r="S683" s="64" t="n">
        <v>344</v>
      </c>
      <c r="T683" s="64" t="n">
        <v>350</v>
      </c>
      <c r="U683" s="64" t="n">
        <v>0</v>
      </c>
      <c r="V683" s="64" t="n">
        <v>492</v>
      </c>
      <c r="W683" s="64" t="n">
        <v>683</v>
      </c>
      <c r="X683" s="64" t="n">
        <v>132</v>
      </c>
    </row>
    <row r="684">
      <c r="A684" s="67" t="n">
        <v>46151</v>
      </c>
      <c r="B684" s="55" t="inlineStr">
        <is>
          <t>天籁·鸿蒙座舱</t>
        </is>
      </c>
      <c r="C684" s="63" t="n"/>
      <c r="D684" s="63" t="n"/>
      <c r="E684" s="63" t="n"/>
      <c r="F684" s="63" t="n"/>
      <c r="G684" s="63" t="n"/>
      <c r="H684" s="63" t="n"/>
      <c r="I684" s="63" t="n"/>
      <c r="J684" s="63" t="n"/>
      <c r="K684" s="63" t="n"/>
      <c r="L684" s="63" t="n"/>
      <c r="M684" s="56">
        <f>N684-SUM(C684:L684)</f>
        <v/>
      </c>
      <c r="N684" s="57" t="n">
        <v>3174</v>
      </c>
      <c r="O684" s="64" t="n">
        <v>60</v>
      </c>
      <c r="P684" s="64" t="n">
        <v>0</v>
      </c>
      <c r="Q684" s="64" t="n">
        <v>793</v>
      </c>
      <c r="R684" s="64" t="n">
        <v>245</v>
      </c>
      <c r="S684" s="64" t="n">
        <v>344</v>
      </c>
      <c r="T684" s="64" t="n">
        <v>350</v>
      </c>
      <c r="U684" s="64" t="n">
        <v>31</v>
      </c>
      <c r="V684" s="64" t="n">
        <v>492</v>
      </c>
      <c r="W684" s="64" t="n">
        <v>727</v>
      </c>
      <c r="X684" s="64" t="n">
        <v>132</v>
      </c>
    </row>
    <row r="685">
      <c r="A685" s="67" t="n">
        <v>46152</v>
      </c>
      <c r="B685" s="55" t="inlineStr">
        <is>
          <t>天籁·鸿蒙座舱</t>
        </is>
      </c>
      <c r="C685" s="63" t="n"/>
      <c r="D685" s="63" t="n"/>
      <c r="E685" s="63" t="n"/>
      <c r="F685" s="63" t="n"/>
      <c r="G685" s="63" t="n"/>
      <c r="H685" s="63" t="n"/>
      <c r="I685" s="63" t="n"/>
      <c r="J685" s="63" t="n"/>
      <c r="K685" s="63" t="n"/>
      <c r="L685" s="63" t="n"/>
      <c r="M685" s="56">
        <f>N685-SUM(C685:L685)</f>
        <v/>
      </c>
      <c r="N685" s="57" t="n">
        <v>3467</v>
      </c>
      <c r="O685" s="64" t="n">
        <v>86</v>
      </c>
      <c r="P685" s="64" t="n">
        <v>1</v>
      </c>
      <c r="Q685" s="64" t="n">
        <v>1189</v>
      </c>
      <c r="R685" s="64" t="n">
        <v>245</v>
      </c>
      <c r="S685" s="64" t="n">
        <v>344</v>
      </c>
      <c r="T685" s="64" t="n">
        <v>350</v>
      </c>
      <c r="U685" s="64" t="n">
        <v>31</v>
      </c>
      <c r="V685" s="64" t="n">
        <v>492</v>
      </c>
      <c r="W685" s="64" t="n">
        <v>729</v>
      </c>
      <c r="X685" s="64" t="n">
        <v>0</v>
      </c>
    </row>
    <row r="686">
      <c r="A686" s="67" t="n">
        <v>46153</v>
      </c>
      <c r="B686" s="55" t="inlineStr">
        <is>
          <t>天籁·鸿蒙座舱</t>
        </is>
      </c>
      <c r="C686" s="63" t="n"/>
      <c r="D686" s="63" t="n"/>
      <c r="E686" s="63" t="n"/>
      <c r="F686" s="63" t="n"/>
      <c r="G686" s="63" t="n"/>
      <c r="H686" s="63" t="n"/>
      <c r="I686" s="63" t="n"/>
      <c r="J686" s="63" t="n"/>
      <c r="K686" s="63" t="n"/>
      <c r="L686" s="63" t="n"/>
      <c r="M686" s="56">
        <f>N686-SUM(C686:L686)</f>
        <v/>
      </c>
      <c r="N686" s="57" t="n">
        <v>3167</v>
      </c>
      <c r="O686" s="64" t="n">
        <v>60</v>
      </c>
      <c r="P686" s="64" t="n">
        <v>0</v>
      </c>
      <c r="Q686" s="64" t="n">
        <v>793</v>
      </c>
      <c r="R686" s="64" t="n">
        <v>245</v>
      </c>
      <c r="S686" s="64" t="n">
        <v>344</v>
      </c>
      <c r="T686" s="64" t="n">
        <v>350</v>
      </c>
      <c r="U686" s="64" t="n">
        <v>21</v>
      </c>
      <c r="V686" s="64" t="n">
        <v>492</v>
      </c>
      <c r="W686" s="64" t="n">
        <v>730</v>
      </c>
      <c r="X686" s="64" t="n">
        <v>132</v>
      </c>
    </row>
    <row r="687">
      <c r="A687" s="67" t="n">
        <v>46154</v>
      </c>
      <c r="B687" s="55" t="inlineStr">
        <is>
          <t>天籁·鸿蒙座舱</t>
        </is>
      </c>
      <c r="C687" s="63" t="n"/>
      <c r="D687" s="63" t="n"/>
      <c r="E687" s="63" t="n"/>
      <c r="F687" s="63" t="n"/>
      <c r="G687" s="63" t="n"/>
      <c r="H687" s="63" t="n"/>
      <c r="I687" s="63" t="n"/>
      <c r="J687" s="63" t="n"/>
      <c r="K687" s="63" t="n"/>
      <c r="L687" s="63" t="n"/>
      <c r="M687" s="56">
        <f>N687-SUM(C687:L687)</f>
        <v/>
      </c>
      <c r="N687" s="57" t="n">
        <v>3254</v>
      </c>
      <c r="O687" s="64" t="n">
        <v>60</v>
      </c>
      <c r="P687" s="64" t="n">
        <v>0</v>
      </c>
      <c r="Q687" s="64" t="n">
        <v>793</v>
      </c>
      <c r="R687" s="64" t="n">
        <v>245</v>
      </c>
      <c r="S687" s="64" t="n">
        <v>344</v>
      </c>
      <c r="T687" s="64" t="n">
        <v>490</v>
      </c>
      <c r="U687" s="64" t="n">
        <v>0</v>
      </c>
      <c r="V687" s="64" t="n">
        <v>492</v>
      </c>
      <c r="W687" s="64" t="n">
        <v>698</v>
      </c>
      <c r="X687" s="64" t="n">
        <v>132</v>
      </c>
    </row>
    <row r="688">
      <c r="A688" s="67" t="n">
        <v>46155</v>
      </c>
      <c r="B688" s="55" t="inlineStr">
        <is>
          <t>天籁·鸿蒙座舱</t>
        </is>
      </c>
      <c r="C688" s="63" t="n"/>
      <c r="D688" s="63" t="n"/>
      <c r="E688" s="63" t="n"/>
      <c r="F688" s="63" t="n"/>
      <c r="G688" s="63" t="n"/>
      <c r="H688" s="63" t="n"/>
      <c r="I688" s="63" t="n"/>
      <c r="J688" s="63" t="n"/>
      <c r="K688" s="63" t="n"/>
      <c r="L688" s="63" t="n"/>
      <c r="M688" s="56">
        <f>N688-SUM(C688:L688)</f>
        <v/>
      </c>
      <c r="N688" s="57" t="n">
        <v>3255</v>
      </c>
      <c r="O688" s="64" t="n">
        <v>60</v>
      </c>
      <c r="P688" s="64" t="n">
        <v>0</v>
      </c>
      <c r="Q688" s="64" t="n">
        <v>793</v>
      </c>
      <c r="R688" s="64" t="n">
        <v>245</v>
      </c>
      <c r="S688" s="64" t="n">
        <v>344</v>
      </c>
      <c r="T688" s="64" t="n">
        <v>490</v>
      </c>
      <c r="U688" s="64" t="n">
        <v>0</v>
      </c>
      <c r="V688" s="64" t="n">
        <v>492</v>
      </c>
      <c r="W688" s="64" t="n">
        <v>699</v>
      </c>
      <c r="X688" s="64" t="n">
        <v>132</v>
      </c>
    </row>
    <row r="689">
      <c r="A689" s="67" t="n">
        <v>46156</v>
      </c>
      <c r="B689" s="55" t="inlineStr">
        <is>
          <t>天籁·鸿蒙座舱</t>
        </is>
      </c>
      <c r="C689" s="63" t="n"/>
      <c r="D689" s="63" t="n"/>
      <c r="E689" s="63" t="n"/>
      <c r="F689" s="63" t="n"/>
      <c r="G689" s="63" t="n"/>
      <c r="H689" s="63" t="n"/>
      <c r="I689" s="63" t="n"/>
      <c r="J689" s="63" t="n"/>
      <c r="K689" s="63" t="n"/>
      <c r="L689" s="63" t="n"/>
      <c r="M689" s="56">
        <f>N689-SUM(C689:L689)</f>
        <v/>
      </c>
      <c r="N689" s="57" t="n">
        <v>3317</v>
      </c>
      <c r="O689" s="64" t="n">
        <v>60</v>
      </c>
      <c r="P689" s="64" t="n">
        <v>0</v>
      </c>
      <c r="Q689" s="64" t="n">
        <v>793</v>
      </c>
      <c r="R689" s="64" t="n">
        <v>245</v>
      </c>
      <c r="S689" s="64" t="n">
        <v>344</v>
      </c>
      <c r="T689" s="64" t="n">
        <v>490</v>
      </c>
      <c r="U689" s="64" t="n">
        <v>39</v>
      </c>
      <c r="V689" s="64" t="n">
        <v>492</v>
      </c>
      <c r="W689" s="64" t="n">
        <v>722</v>
      </c>
      <c r="X689" s="64" t="n">
        <v>132</v>
      </c>
    </row>
    <row r="690">
      <c r="A690" s="67" t="n">
        <v>46157</v>
      </c>
      <c r="B690" s="55" t="inlineStr">
        <is>
          <t>天籁·鸿蒙座舱</t>
        </is>
      </c>
      <c r="C690" s="63" t="n"/>
      <c r="D690" s="63" t="n"/>
      <c r="E690" s="63" t="n"/>
      <c r="F690" s="63" t="n"/>
      <c r="G690" s="63" t="n"/>
      <c r="H690" s="63" t="n"/>
      <c r="I690" s="63" t="n"/>
      <c r="J690" s="63" t="n"/>
      <c r="K690" s="63" t="n"/>
      <c r="L690" s="63" t="n"/>
      <c r="M690" s="56">
        <f>N690-SUM(C690:L690)</f>
        <v/>
      </c>
      <c r="N690" s="57" t="n">
        <v>3347</v>
      </c>
      <c r="O690" s="64" t="n">
        <v>60</v>
      </c>
      <c r="P690" s="64" t="n">
        <v>0</v>
      </c>
      <c r="Q690" s="64" t="n">
        <v>793</v>
      </c>
      <c r="R690" s="64" t="n">
        <v>245</v>
      </c>
      <c r="S690" s="64" t="n">
        <v>344</v>
      </c>
      <c r="T690" s="64" t="n">
        <v>490</v>
      </c>
      <c r="U690" s="64" t="n">
        <v>52</v>
      </c>
      <c r="V690" s="64" t="n">
        <v>492</v>
      </c>
      <c r="W690" s="64" t="n">
        <v>739</v>
      </c>
      <c r="X690" s="64" t="n">
        <v>132</v>
      </c>
    </row>
    <row r="691">
      <c r="A691" s="67" t="n">
        <v>46158</v>
      </c>
      <c r="B691" s="55" t="inlineStr">
        <is>
          <t>天籁·鸿蒙座舱</t>
        </is>
      </c>
      <c r="C691" s="63" t="n"/>
      <c r="D691" s="63" t="n"/>
      <c r="E691" s="63" t="n"/>
      <c r="F691" s="63" t="n"/>
      <c r="G691" s="63" t="n"/>
      <c r="H691" s="63" t="n"/>
      <c r="I691" s="63" t="n"/>
      <c r="J691" s="63" t="n"/>
      <c r="K691" s="63" t="n"/>
      <c r="L691" s="63" t="n"/>
      <c r="M691" s="56">
        <f>N691-SUM(C691:L691)</f>
        <v/>
      </c>
      <c r="N691" s="57" t="n">
        <v>3749</v>
      </c>
      <c r="O691" s="64" t="n">
        <v>86</v>
      </c>
      <c r="P691" s="64" t="n">
        <v>1</v>
      </c>
      <c r="Q691" s="64" t="n">
        <v>1189</v>
      </c>
      <c r="R691" s="64" t="n">
        <v>245</v>
      </c>
      <c r="S691" s="64" t="n">
        <v>344</v>
      </c>
      <c r="T691" s="64" t="n">
        <v>490</v>
      </c>
      <c r="U691" s="64" t="n">
        <v>80</v>
      </c>
      <c r="V691" s="64" t="n">
        <v>492</v>
      </c>
      <c r="W691" s="64" t="n">
        <v>822</v>
      </c>
      <c r="X691" s="64" t="n">
        <v>0</v>
      </c>
    </row>
    <row r="692">
      <c r="A692" s="67" t="n">
        <v>46159</v>
      </c>
      <c r="B692" s="55" t="inlineStr">
        <is>
          <t>天籁·鸿蒙座舱</t>
        </is>
      </c>
      <c r="C692" s="63" t="n"/>
      <c r="D692" s="63" t="n"/>
      <c r="E692" s="63" t="n"/>
      <c r="F692" s="63" t="n"/>
      <c r="G692" s="63" t="n"/>
      <c r="H692" s="63" t="n"/>
      <c r="I692" s="63" t="n"/>
      <c r="J692" s="63" t="n"/>
      <c r="K692" s="63" t="n"/>
      <c r="L692" s="63" t="n"/>
      <c r="M692" s="56">
        <f>N692-SUM(C692:L692)</f>
        <v/>
      </c>
      <c r="N692" s="57" t="n">
        <v>3905</v>
      </c>
      <c r="O692" s="64" t="n">
        <v>86</v>
      </c>
      <c r="P692" s="64" t="n">
        <v>0</v>
      </c>
      <c r="Q692" s="64" t="n">
        <v>1189</v>
      </c>
      <c r="R692" s="64" t="n">
        <v>245</v>
      </c>
      <c r="S692" s="64" t="n">
        <v>344</v>
      </c>
      <c r="T692" s="64" t="n">
        <v>595</v>
      </c>
      <c r="U692" s="64" t="n">
        <v>80</v>
      </c>
      <c r="V692" s="64" t="n">
        <v>492</v>
      </c>
      <c r="W692" s="64" t="n">
        <v>874</v>
      </c>
      <c r="X692" s="64" t="n">
        <v>0</v>
      </c>
    </row>
    <row r="693">
      <c r="A693" s="67" t="n">
        <v>46160</v>
      </c>
      <c r="B693" s="55" t="inlineStr">
        <is>
          <t>天籁·鸿蒙座舱</t>
        </is>
      </c>
      <c r="C693" s="63" t="n"/>
      <c r="D693" s="63" t="n"/>
      <c r="E693" s="63" t="n"/>
      <c r="F693" s="63" t="n"/>
      <c r="G693" s="63" t="n"/>
      <c r="H693" s="63" t="n"/>
      <c r="I693" s="63" t="n"/>
      <c r="J693" s="63" t="n"/>
      <c r="K693" s="63" t="n"/>
      <c r="L693" s="63" t="n"/>
      <c r="M693" s="56">
        <f>N693-SUM(C693:L693)</f>
        <v/>
      </c>
      <c r="N693" s="57" t="n">
        <v>3600</v>
      </c>
      <c r="O693" s="64" t="n">
        <v>60</v>
      </c>
      <c r="P693" s="64" t="n">
        <v>0</v>
      </c>
      <c r="Q693" s="64" t="n">
        <v>793</v>
      </c>
      <c r="R693" s="64" t="n">
        <v>245</v>
      </c>
      <c r="S693" s="64" t="n">
        <v>344</v>
      </c>
      <c r="T693" s="64" t="n">
        <v>630</v>
      </c>
      <c r="U693" s="64" t="n">
        <v>48</v>
      </c>
      <c r="V693" s="64" t="n">
        <v>493</v>
      </c>
      <c r="W693" s="64" t="n">
        <v>856</v>
      </c>
      <c r="X693" s="64" t="n">
        <v>131</v>
      </c>
    </row>
    <row r="694">
      <c r="A694" s="67" t="n">
        <v>46161</v>
      </c>
      <c r="B694" s="55" t="inlineStr">
        <is>
          <t>天籁·鸿蒙座舱</t>
        </is>
      </c>
      <c r="C694" s="63" t="n"/>
      <c r="D694" s="63" t="n"/>
      <c r="E694" s="63" t="n"/>
      <c r="F694" s="63" t="n"/>
      <c r="G694" s="63" t="n"/>
      <c r="H694" s="63" t="n"/>
      <c r="I694" s="63" t="n"/>
      <c r="J694" s="63" t="n"/>
      <c r="K694" s="63" t="n"/>
      <c r="L694" s="63" t="n"/>
      <c r="M694" s="56">
        <f>N694-SUM(C694:L694)</f>
        <v/>
      </c>
      <c r="N694" s="57" t="n">
        <v>3581</v>
      </c>
      <c r="O694" s="64" t="n">
        <v>60</v>
      </c>
      <c r="P694" s="64" t="n">
        <v>0</v>
      </c>
      <c r="Q694" s="64" t="n">
        <v>793</v>
      </c>
      <c r="R694" s="64" t="n">
        <v>245</v>
      </c>
      <c r="S694" s="64" t="n">
        <v>344</v>
      </c>
      <c r="T694" s="64" t="n">
        <v>630</v>
      </c>
      <c r="U694" s="64" t="n">
        <v>13</v>
      </c>
      <c r="V694" s="64" t="n">
        <v>493</v>
      </c>
      <c r="W694" s="64" t="n">
        <v>872</v>
      </c>
      <c r="X694" s="64" t="n">
        <v>131</v>
      </c>
    </row>
    <row r="695">
      <c r="A695" s="67" t="n">
        <v>46162</v>
      </c>
      <c r="B695" s="55" t="inlineStr">
        <is>
          <t>天籁·鸿蒙座舱</t>
        </is>
      </c>
      <c r="C695" s="63" t="n"/>
      <c r="D695" s="63" t="n"/>
      <c r="E695" s="63" t="n"/>
      <c r="F695" s="63" t="n"/>
      <c r="G695" s="63" t="n"/>
      <c r="H695" s="63" t="n"/>
      <c r="I695" s="63" t="n"/>
      <c r="J695" s="63" t="n"/>
      <c r="K695" s="63" t="n"/>
      <c r="L695" s="63" t="n"/>
      <c r="M695" s="56">
        <f>N695-SUM(C695:L695)</f>
        <v/>
      </c>
      <c r="N695" s="57" t="n">
        <v>3579</v>
      </c>
      <c r="O695" s="64" t="n">
        <v>60</v>
      </c>
      <c r="P695" s="64" t="n">
        <v>0</v>
      </c>
      <c r="Q695" s="64" t="n">
        <v>793</v>
      </c>
      <c r="R695" s="64" t="n">
        <v>245</v>
      </c>
      <c r="S695" s="64" t="n">
        <v>344</v>
      </c>
      <c r="T695" s="64" t="n">
        <v>630</v>
      </c>
      <c r="U695" s="64" t="n">
        <v>0</v>
      </c>
      <c r="V695" s="64" t="n">
        <v>493</v>
      </c>
      <c r="W695" s="64" t="n">
        <v>883</v>
      </c>
      <c r="X695" s="64" t="n">
        <v>131</v>
      </c>
    </row>
    <row r="696">
      <c r="A696" s="67" t="n">
        <v>46163</v>
      </c>
      <c r="B696" s="55" t="inlineStr">
        <is>
          <t>天籁·鸿蒙座舱</t>
        </is>
      </c>
      <c r="C696" s="63" t="n"/>
      <c r="D696" s="63" t="n"/>
      <c r="E696" s="63" t="n"/>
      <c r="F696" s="63" t="n"/>
      <c r="G696" s="63" t="n"/>
      <c r="H696" s="63" t="n"/>
      <c r="I696" s="63" t="n"/>
      <c r="J696" s="63" t="n"/>
      <c r="K696" s="63" t="n"/>
      <c r="L696" s="63" t="n"/>
      <c r="M696" s="56">
        <f>N696-SUM(C696:L696)</f>
        <v/>
      </c>
      <c r="N696" s="57" t="n">
        <v>3610</v>
      </c>
      <c r="O696" s="64" t="n">
        <v>60</v>
      </c>
      <c r="P696" s="64" t="n">
        <v>0</v>
      </c>
      <c r="Q696" s="64" t="n">
        <v>793</v>
      </c>
      <c r="R696" s="64" t="n">
        <v>245</v>
      </c>
      <c r="S696" s="64" t="n">
        <v>344</v>
      </c>
      <c r="T696" s="64" t="n">
        <v>630</v>
      </c>
      <c r="U696" s="64" t="n">
        <v>0</v>
      </c>
      <c r="V696" s="64" t="n">
        <v>493</v>
      </c>
      <c r="W696" s="64" t="n">
        <v>914</v>
      </c>
      <c r="X696" s="64" t="n">
        <v>131</v>
      </c>
    </row>
    <row r="697">
      <c r="A697" s="67" t="n">
        <v>46164</v>
      </c>
      <c r="B697" s="55" t="inlineStr">
        <is>
          <t>天籁·鸿蒙座舱</t>
        </is>
      </c>
      <c r="C697" s="63" t="n"/>
      <c r="D697" s="63" t="n"/>
      <c r="E697" s="63" t="n"/>
      <c r="F697" s="63" t="n"/>
      <c r="G697" s="63" t="n"/>
      <c r="H697" s="63" t="n"/>
      <c r="I697" s="63" t="n"/>
      <c r="J697" s="63" t="n"/>
      <c r="K697" s="63" t="n"/>
      <c r="L697" s="63" t="n"/>
      <c r="M697" s="56">
        <f>N697-SUM(C697:L697)</f>
        <v/>
      </c>
      <c r="N697" s="57" t="n">
        <v>3617</v>
      </c>
      <c r="O697" s="64" t="n">
        <v>60</v>
      </c>
      <c r="P697" s="64" t="n">
        <v>0</v>
      </c>
      <c r="Q697" s="64" t="n">
        <v>793</v>
      </c>
      <c r="R697" s="64" t="n">
        <v>245</v>
      </c>
      <c r="S697" s="64" t="n">
        <v>344</v>
      </c>
      <c r="T697" s="64" t="n">
        <v>630</v>
      </c>
      <c r="U697" s="64" t="n">
        <v>6</v>
      </c>
      <c r="V697" s="64" t="n">
        <v>493</v>
      </c>
      <c r="W697" s="64" t="n">
        <v>915</v>
      </c>
      <c r="X697" s="64" t="n">
        <v>131</v>
      </c>
    </row>
    <row r="698">
      <c r="A698" s="67" t="n">
        <v>46165</v>
      </c>
      <c r="B698" s="55" t="inlineStr">
        <is>
          <t>天籁·鸿蒙座舱</t>
        </is>
      </c>
      <c r="C698" s="63" t="n"/>
      <c r="D698" s="63" t="n"/>
      <c r="E698" s="63" t="n"/>
      <c r="F698" s="63" t="n"/>
      <c r="G698" s="63" t="n"/>
      <c r="H698" s="63" t="n"/>
      <c r="I698" s="63" t="n"/>
      <c r="J698" s="63" t="n"/>
      <c r="K698" s="63" t="n"/>
      <c r="L698" s="63" t="n"/>
      <c r="M698" s="56">
        <f>N698-SUM(C698:L698)</f>
        <v/>
      </c>
      <c r="N698" s="57" t="n">
        <v>4003</v>
      </c>
      <c r="O698" s="64" t="n">
        <v>86</v>
      </c>
      <c r="P698" s="64" t="n">
        <v>0</v>
      </c>
      <c r="Q698" s="64" t="n">
        <v>1189</v>
      </c>
      <c r="R698" s="64" t="n">
        <v>245</v>
      </c>
      <c r="S698" s="64" t="n">
        <v>344</v>
      </c>
      <c r="T698" s="64" t="n">
        <v>630</v>
      </c>
      <c r="U698" s="64" t="n">
        <v>64</v>
      </c>
      <c r="V698" s="64" t="n">
        <v>493</v>
      </c>
      <c r="W698" s="64" t="n">
        <v>952</v>
      </c>
      <c r="X698" s="64" t="n">
        <v>0</v>
      </c>
    </row>
    <row r="699">
      <c r="A699" s="67" t="n">
        <v>46166</v>
      </c>
      <c r="B699" s="55" t="inlineStr">
        <is>
          <t>天籁·鸿蒙座舱</t>
        </is>
      </c>
      <c r="C699" s="63" t="n"/>
      <c r="D699" s="63" t="n"/>
      <c r="E699" s="63" t="n"/>
      <c r="F699" s="63" t="n"/>
      <c r="G699" s="63" t="n"/>
      <c r="H699" s="63" t="n"/>
      <c r="I699" s="63" t="n"/>
      <c r="J699" s="63" t="n"/>
      <c r="K699" s="63" t="n"/>
      <c r="L699" s="63" t="n"/>
      <c r="M699" s="56">
        <f>N699-SUM(C699:L699)</f>
        <v/>
      </c>
      <c r="N699" s="57" t="n">
        <v>4013</v>
      </c>
      <c r="O699" s="64" t="n">
        <v>86</v>
      </c>
      <c r="P699" s="64" t="n">
        <v>0</v>
      </c>
      <c r="Q699" s="64" t="n">
        <v>1189</v>
      </c>
      <c r="R699" s="64" t="n">
        <v>245</v>
      </c>
      <c r="S699" s="64" t="n">
        <v>344</v>
      </c>
      <c r="T699" s="64" t="n">
        <v>630</v>
      </c>
      <c r="U699" s="64" t="n">
        <v>64</v>
      </c>
      <c r="V699" s="64" t="n">
        <v>493</v>
      </c>
      <c r="W699" s="64" t="n">
        <v>962</v>
      </c>
      <c r="X699" s="64" t="n">
        <v>0</v>
      </c>
    </row>
    <row r="700">
      <c r="A700" s="67" t="n">
        <v>46167</v>
      </c>
      <c r="B700" s="55" t="inlineStr">
        <is>
          <t>天籁·鸿蒙座舱</t>
        </is>
      </c>
      <c r="C700" s="63" t="n"/>
      <c r="D700" s="63" t="n"/>
      <c r="E700" s="63" t="n"/>
      <c r="F700" s="63" t="n"/>
      <c r="G700" s="63" t="n"/>
      <c r="H700" s="63" t="n"/>
      <c r="I700" s="63" t="n"/>
      <c r="J700" s="63" t="n"/>
      <c r="K700" s="63" t="n"/>
      <c r="L700" s="63" t="n"/>
      <c r="M700" s="56">
        <f>N700-SUM(C700:L700)</f>
        <v/>
      </c>
      <c r="N700" s="57" t="n">
        <v>3627</v>
      </c>
      <c r="O700" s="64" t="n">
        <v>60</v>
      </c>
      <c r="P700" s="64" t="n">
        <v>0</v>
      </c>
      <c r="Q700" s="64" t="n">
        <v>793</v>
      </c>
      <c r="R700" s="64" t="n">
        <v>245</v>
      </c>
      <c r="S700" s="64" t="n">
        <v>344</v>
      </c>
      <c r="T700" s="64" t="n">
        <v>630</v>
      </c>
      <c r="U700" s="64" t="n">
        <v>21</v>
      </c>
      <c r="V700" s="64" t="n">
        <v>493</v>
      </c>
      <c r="W700" s="64" t="n">
        <v>910</v>
      </c>
      <c r="X700" s="64" t="n">
        <v>131</v>
      </c>
    </row>
    <row r="701">
      <c r="A701" s="67" t="n">
        <v>46168</v>
      </c>
      <c r="B701" s="55" t="inlineStr">
        <is>
          <t>天籁·鸿蒙座舱</t>
        </is>
      </c>
      <c r="C701" s="63" t="n"/>
      <c r="D701" s="63" t="n"/>
      <c r="E701" s="63" t="n"/>
      <c r="F701" s="63" t="n"/>
      <c r="G701" s="63" t="n"/>
      <c r="H701" s="63" t="n"/>
      <c r="I701" s="63" t="n"/>
      <c r="J701" s="63" t="n"/>
      <c r="K701" s="63" t="n"/>
      <c r="L701" s="63" t="n"/>
      <c r="M701" s="56">
        <f>N701-SUM(C701:L701)</f>
        <v/>
      </c>
      <c r="N701" s="57" t="n">
        <v>3596</v>
      </c>
      <c r="O701" s="64" t="n">
        <v>60</v>
      </c>
      <c r="P701" s="64" t="n">
        <v>0</v>
      </c>
      <c r="Q701" s="64" t="n">
        <v>793</v>
      </c>
      <c r="R701" s="64" t="n">
        <v>245</v>
      </c>
      <c r="S701" s="64" t="n">
        <v>344</v>
      </c>
      <c r="T701" s="64" t="n">
        <v>630</v>
      </c>
      <c r="U701" s="64" t="n">
        <v>0</v>
      </c>
      <c r="V701" s="64" t="n">
        <v>493</v>
      </c>
      <c r="W701" s="64" t="n">
        <v>900</v>
      </c>
      <c r="X701" s="64" t="n">
        <v>131</v>
      </c>
    </row>
    <row r="702">
      <c r="A702" s="67" t="n">
        <v>46169</v>
      </c>
      <c r="B702" s="55" t="inlineStr">
        <is>
          <t>天籁·鸿蒙座舱</t>
        </is>
      </c>
      <c r="C702" s="63" t="n"/>
      <c r="D702" s="63" t="n"/>
      <c r="E702" s="63" t="n"/>
      <c r="F702" s="63" t="n"/>
      <c r="G702" s="63" t="n"/>
      <c r="H702" s="63" t="n"/>
      <c r="I702" s="63" t="n"/>
      <c r="J702" s="63" t="n"/>
      <c r="K702" s="63" t="n"/>
      <c r="L702" s="63" t="n"/>
      <c r="M702" s="56">
        <f>N702-SUM(C702:L702)</f>
        <v/>
      </c>
      <c r="N702" s="57" t="n">
        <v>3580</v>
      </c>
      <c r="O702" s="64" t="n">
        <v>60</v>
      </c>
      <c r="P702" s="64" t="n">
        <v>0</v>
      </c>
      <c r="Q702" s="64" t="n">
        <v>793</v>
      </c>
      <c r="R702" s="64" t="n">
        <v>245</v>
      </c>
      <c r="S702" s="64" t="n">
        <v>344</v>
      </c>
      <c r="T702" s="64" t="n">
        <v>630</v>
      </c>
      <c r="U702" s="64" t="n">
        <v>0</v>
      </c>
      <c r="V702" s="64" t="n">
        <v>493</v>
      </c>
      <c r="W702" s="64" t="n">
        <v>885</v>
      </c>
      <c r="X702" s="64" t="n">
        <v>130</v>
      </c>
    </row>
    <row r="703">
      <c r="A703" s="67" t="n">
        <v>46170</v>
      </c>
      <c r="B703" s="55" t="inlineStr">
        <is>
          <t>天籁·鸿蒙座舱</t>
        </is>
      </c>
      <c r="C703" s="63" t="n"/>
      <c r="D703" s="63" t="n"/>
      <c r="E703" s="63" t="n"/>
      <c r="F703" s="63" t="n"/>
      <c r="G703" s="63" t="n"/>
      <c r="H703" s="63" t="n"/>
      <c r="I703" s="63" t="n"/>
      <c r="J703" s="63" t="n"/>
      <c r="K703" s="63" t="n"/>
      <c r="L703" s="63" t="n"/>
      <c r="M703" s="56">
        <f>N703-SUM(C703:L703)</f>
        <v/>
      </c>
      <c r="N703" s="57" t="n">
        <v>3608</v>
      </c>
      <c r="O703" s="64" t="n">
        <v>60</v>
      </c>
      <c r="P703" s="64" t="n">
        <v>0</v>
      </c>
      <c r="Q703" s="64" t="n">
        <v>793</v>
      </c>
      <c r="R703" s="64" t="n">
        <v>245</v>
      </c>
      <c r="S703" s="64" t="n">
        <v>344</v>
      </c>
      <c r="T703" s="64" t="n">
        <v>630</v>
      </c>
      <c r="U703" s="64" t="n">
        <v>0</v>
      </c>
      <c r="V703" s="64" t="n">
        <v>493</v>
      </c>
      <c r="W703" s="64" t="n">
        <v>913</v>
      </c>
      <c r="X703" s="64" t="n">
        <v>130</v>
      </c>
    </row>
    <row r="704">
      <c r="A704" s="67" t="n">
        <v>46171</v>
      </c>
      <c r="B704" s="55" t="inlineStr">
        <is>
          <t>天籁·鸿蒙座舱</t>
        </is>
      </c>
      <c r="C704" s="63" t="n"/>
      <c r="D704" s="63" t="n"/>
      <c r="E704" s="63" t="n"/>
      <c r="F704" s="63" t="n"/>
      <c r="G704" s="63" t="n"/>
      <c r="H704" s="63" t="n"/>
      <c r="I704" s="63" t="n"/>
      <c r="J704" s="63" t="n"/>
      <c r="K704" s="63" t="n"/>
      <c r="L704" s="63" t="n"/>
      <c r="M704" s="56">
        <f>N704-SUM(C704:L704)</f>
        <v/>
      </c>
      <c r="N704" s="57" t="n">
        <v>3612</v>
      </c>
      <c r="O704" s="64" t="n">
        <v>60</v>
      </c>
      <c r="P704" s="64" t="n">
        <v>0</v>
      </c>
      <c r="Q704" s="64" t="n">
        <v>793</v>
      </c>
      <c r="R704" s="64" t="n">
        <v>245</v>
      </c>
      <c r="S704" s="64" t="n">
        <v>344</v>
      </c>
      <c r="T704" s="64" t="n">
        <v>630</v>
      </c>
      <c r="U704" s="64" t="n">
        <v>0</v>
      </c>
      <c r="V704" s="64" t="n">
        <v>493</v>
      </c>
      <c r="W704" s="64" t="n">
        <v>917</v>
      </c>
      <c r="X704" s="64" t="n">
        <v>130</v>
      </c>
    </row>
    <row r="705">
      <c r="A705" s="67" t="n">
        <v>46172</v>
      </c>
      <c r="B705" s="55" t="inlineStr">
        <is>
          <t>天籁·鸿蒙座舱</t>
        </is>
      </c>
      <c r="C705" s="63" t="n"/>
      <c r="D705" s="63" t="n"/>
      <c r="E705" s="63" t="n"/>
      <c r="F705" s="63" t="n"/>
      <c r="G705" s="63" t="n"/>
      <c r="H705" s="63" t="n"/>
      <c r="I705" s="63" t="n"/>
      <c r="J705" s="63" t="n"/>
      <c r="K705" s="63" t="n"/>
      <c r="L705" s="63" t="n"/>
      <c r="M705" s="56">
        <f>N705-SUM(C705:L705)</f>
        <v/>
      </c>
      <c r="N705" s="57" t="n">
        <v>3942</v>
      </c>
      <c r="O705" s="64" t="n">
        <v>86</v>
      </c>
      <c r="P705" s="64" t="n">
        <v>0</v>
      </c>
      <c r="Q705" s="64" t="n">
        <v>1189</v>
      </c>
      <c r="R705" s="64" t="n">
        <v>245</v>
      </c>
      <c r="S705" s="64" t="n">
        <v>344</v>
      </c>
      <c r="T705" s="64" t="n">
        <v>630</v>
      </c>
      <c r="U705" s="64" t="n">
        <v>27</v>
      </c>
      <c r="V705" s="64" t="n">
        <v>493</v>
      </c>
      <c r="W705" s="64" t="n">
        <v>928</v>
      </c>
      <c r="X705" s="64" t="n">
        <v>0</v>
      </c>
    </row>
    <row r="706">
      <c r="A706" s="67" t="n">
        <v>46173</v>
      </c>
      <c r="B706" s="55" t="inlineStr">
        <is>
          <t>天籁·鸿蒙座舱</t>
        </is>
      </c>
      <c r="C706" s="63" t="n"/>
      <c r="D706" s="63" t="n"/>
      <c r="E706" s="63" t="n"/>
      <c r="F706" s="63" t="n"/>
      <c r="G706" s="63" t="n"/>
      <c r="H706" s="63" t="n"/>
      <c r="I706" s="63" t="n"/>
      <c r="J706" s="63" t="n"/>
      <c r="K706" s="63" t="n"/>
      <c r="L706" s="63" t="n"/>
      <c r="M706" s="56">
        <f>N706-SUM(C706:L706)</f>
        <v/>
      </c>
      <c r="N706" s="57" t="n">
        <v>4009</v>
      </c>
      <c r="O706" s="64" t="n">
        <v>86</v>
      </c>
      <c r="P706" s="64" t="n">
        <v>0</v>
      </c>
      <c r="Q706" s="64" t="n">
        <v>1191</v>
      </c>
      <c r="R706" s="64" t="n">
        <v>249</v>
      </c>
      <c r="S706" s="64" t="n">
        <v>344</v>
      </c>
      <c r="T706" s="64" t="n">
        <v>700</v>
      </c>
      <c r="U706" s="64" t="n">
        <v>27</v>
      </c>
      <c r="V706" s="64" t="n">
        <v>493</v>
      </c>
      <c r="W706" s="64" t="n">
        <v>919</v>
      </c>
      <c r="X706" s="64" t="n">
        <v>0</v>
      </c>
    </row>
    <row r="707">
      <c r="A707" s="67" t="n">
        <v>46174</v>
      </c>
      <c r="B707" s="55" t="inlineStr">
        <is>
          <t>天籁·鸿蒙座舱</t>
        </is>
      </c>
      <c r="C707" s="56" t="n"/>
      <c r="D707" s="56" t="n"/>
      <c r="E707" s="56" t="n"/>
      <c r="F707" s="56" t="n"/>
      <c r="G707" s="56" t="n"/>
      <c r="H707" s="56" t="n"/>
      <c r="I707" s="56" t="n"/>
      <c r="J707" s="56" t="n"/>
      <c r="K707" s="56" t="n"/>
      <c r="L707" s="56" t="n"/>
      <c r="M707" s="56">
        <f>N707-SUM(C707:L707)</f>
        <v/>
      </c>
      <c r="N707" s="57" t="n">
        <v>0</v>
      </c>
      <c r="O707" s="56" t="n"/>
      <c r="P707" s="56" t="n"/>
      <c r="Q707" s="56" t="n"/>
      <c r="R707" s="56" t="n"/>
      <c r="S707" s="56" t="n"/>
      <c r="T707" s="56" t="n"/>
      <c r="U707" s="56" t="n"/>
      <c r="V707" s="56" t="n"/>
      <c r="W707" s="56" t="n"/>
      <c r="X707" s="56" t="n"/>
    </row>
    <row r="708">
      <c r="A708" s="67" t="n">
        <v>46175</v>
      </c>
      <c r="B708" s="55" t="inlineStr">
        <is>
          <t>天籁·鸿蒙座舱</t>
        </is>
      </c>
      <c r="C708" s="56" t="n"/>
      <c r="D708" s="56" t="n"/>
      <c r="E708" s="56" t="n"/>
      <c r="F708" s="56" t="n"/>
      <c r="G708" s="56" t="n"/>
      <c r="H708" s="56" t="n"/>
      <c r="I708" s="56" t="n"/>
      <c r="J708" s="56" t="n"/>
      <c r="K708" s="56" t="n"/>
      <c r="L708" s="56" t="n"/>
      <c r="M708" s="56">
        <f>N708-SUM(C708:L708)</f>
        <v/>
      </c>
      <c r="N708" s="57" t="n">
        <v>0</v>
      </c>
      <c r="O708" s="56" t="n"/>
      <c r="P708" s="56" t="n"/>
      <c r="Q708" s="56" t="n"/>
      <c r="R708" s="56" t="n"/>
      <c r="S708" s="56" t="n"/>
      <c r="T708" s="56" t="n"/>
      <c r="U708" s="56" t="n"/>
      <c r="V708" s="56" t="n"/>
      <c r="W708" s="56" t="n"/>
      <c r="X708" s="56" t="n"/>
    </row>
    <row r="709">
      <c r="A709" s="67" t="n">
        <v>46176</v>
      </c>
      <c r="B709" s="55" t="inlineStr">
        <is>
          <t>天籁·鸿蒙座舱</t>
        </is>
      </c>
      <c r="C709" s="56" t="n"/>
      <c r="D709" s="56" t="n"/>
      <c r="E709" s="56" t="n"/>
      <c r="F709" s="56" t="n"/>
      <c r="G709" s="56" t="n"/>
      <c r="H709" s="56" t="n"/>
      <c r="I709" s="56" t="n"/>
      <c r="J709" s="56" t="n"/>
      <c r="K709" s="56" t="n"/>
      <c r="L709" s="56" t="n"/>
      <c r="M709" s="56">
        <f>N709-SUM(C709:L709)</f>
        <v/>
      </c>
      <c r="N709" s="57" t="n">
        <v>0</v>
      </c>
      <c r="O709" s="56" t="n"/>
      <c r="P709" s="56" t="n"/>
      <c r="Q709" s="56" t="n"/>
      <c r="R709" s="56" t="n"/>
      <c r="S709" s="56" t="n"/>
      <c r="T709" s="56" t="n"/>
      <c r="U709" s="56" t="n"/>
      <c r="V709" s="56" t="n"/>
      <c r="W709" s="56" t="n"/>
      <c r="X709" s="56" t="n"/>
    </row>
    <row r="710">
      <c r="A710" s="67" t="n">
        <v>46177</v>
      </c>
      <c r="B710" s="55" t="inlineStr">
        <is>
          <t>天籁·鸿蒙座舱</t>
        </is>
      </c>
      <c r="C710" s="56" t="n"/>
      <c r="D710" s="56" t="n"/>
      <c r="E710" s="56" t="n"/>
      <c r="F710" s="56" t="n"/>
      <c r="G710" s="56" t="n"/>
      <c r="H710" s="56" t="n"/>
      <c r="I710" s="56" t="n"/>
      <c r="J710" s="56" t="n"/>
      <c r="K710" s="56" t="n"/>
      <c r="L710" s="56" t="n"/>
      <c r="M710" s="56">
        <f>N710-SUM(C710:L710)</f>
        <v/>
      </c>
      <c r="N710" s="57" t="n">
        <v>0</v>
      </c>
      <c r="O710" s="56" t="n"/>
      <c r="P710" s="56" t="n"/>
      <c r="Q710" s="56" t="n"/>
      <c r="R710" s="56" t="n"/>
      <c r="S710" s="56" t="n"/>
      <c r="T710" s="56" t="n"/>
      <c r="U710" s="56" t="n"/>
      <c r="V710" s="56" t="n"/>
      <c r="W710" s="56" t="n"/>
      <c r="X710" s="56" t="n"/>
    </row>
    <row r="711">
      <c r="A711" s="67" t="n">
        <v>46178</v>
      </c>
      <c r="B711" s="55" t="inlineStr">
        <is>
          <t>天籁·鸿蒙座舱</t>
        </is>
      </c>
      <c r="C711" s="56" t="n"/>
      <c r="D711" s="56" t="n"/>
      <c r="E711" s="56" t="n"/>
      <c r="F711" s="56" t="n"/>
      <c r="G711" s="56" t="n"/>
      <c r="H711" s="56" t="n"/>
      <c r="I711" s="56" t="n"/>
      <c r="J711" s="56" t="n"/>
      <c r="K711" s="56" t="n"/>
      <c r="L711" s="56" t="n"/>
      <c r="M711" s="56">
        <f>N711-SUM(C711:L711)</f>
        <v/>
      </c>
      <c r="N711" s="57" t="n">
        <v>0</v>
      </c>
      <c r="O711" s="56" t="n"/>
      <c r="P711" s="56" t="n"/>
      <c r="Q711" s="56" t="n"/>
      <c r="R711" s="56" t="n"/>
      <c r="S711" s="56" t="n"/>
      <c r="T711" s="56" t="n"/>
      <c r="U711" s="56" t="n"/>
      <c r="V711" s="56" t="n"/>
      <c r="W711" s="56" t="n"/>
      <c r="X711" s="56" t="n"/>
    </row>
    <row r="712">
      <c r="A712" s="67" t="n">
        <v>46179</v>
      </c>
      <c r="B712" s="55" t="inlineStr">
        <is>
          <t>天籁·鸿蒙座舱</t>
        </is>
      </c>
      <c r="C712" s="56" t="n"/>
      <c r="D712" s="56" t="n"/>
      <c r="E712" s="56" t="n"/>
      <c r="F712" s="56" t="n"/>
      <c r="G712" s="56" t="n"/>
      <c r="H712" s="56" t="n"/>
      <c r="I712" s="56" t="n"/>
      <c r="J712" s="56" t="n"/>
      <c r="K712" s="56" t="n"/>
      <c r="L712" s="56" t="n"/>
      <c r="M712" s="56">
        <f>N712-SUM(C712:L712)</f>
        <v/>
      </c>
      <c r="N712" s="57" t="n">
        <v>0</v>
      </c>
      <c r="O712" s="56" t="n"/>
      <c r="P712" s="56" t="n"/>
      <c r="Q712" s="56" t="n"/>
      <c r="R712" s="56" t="n"/>
      <c r="S712" s="56" t="n"/>
      <c r="T712" s="56" t="n"/>
      <c r="U712" s="56" t="n"/>
      <c r="V712" s="56" t="n"/>
      <c r="W712" s="56" t="n"/>
      <c r="X712" s="56" t="n"/>
    </row>
    <row r="713">
      <c r="A713" s="67" t="n">
        <v>46180</v>
      </c>
      <c r="B713" s="55" t="inlineStr">
        <is>
          <t>天籁·鸿蒙座舱</t>
        </is>
      </c>
      <c r="C713" s="56" t="n"/>
      <c r="D713" s="56" t="n"/>
      <c r="E713" s="56" t="n"/>
      <c r="F713" s="56" t="n"/>
      <c r="G713" s="56" t="n"/>
      <c r="H713" s="56" t="n"/>
      <c r="I713" s="56" t="n"/>
      <c r="J713" s="56" t="n"/>
      <c r="K713" s="56" t="n"/>
      <c r="L713" s="56" t="n"/>
      <c r="M713" s="56">
        <f>N713-SUM(C713:L713)</f>
        <v/>
      </c>
      <c r="N713" s="57" t="n">
        <v>0</v>
      </c>
      <c r="O713" s="56" t="n"/>
      <c r="P713" s="56" t="n"/>
      <c r="Q713" s="56" t="n"/>
      <c r="R713" s="56" t="n"/>
      <c r="S713" s="56" t="n"/>
      <c r="T713" s="56" t="n"/>
      <c r="U713" s="56" t="n"/>
      <c r="V713" s="56" t="n"/>
      <c r="W713" s="56" t="n"/>
      <c r="X713" s="56" t="n"/>
    </row>
    <row r="714">
      <c r="A714" s="67" t="n">
        <v>46181</v>
      </c>
      <c r="B714" s="55" t="inlineStr">
        <is>
          <t>天籁·鸿蒙座舱</t>
        </is>
      </c>
      <c r="C714" s="56" t="n"/>
      <c r="D714" s="56" t="n"/>
      <c r="E714" s="56" t="n"/>
      <c r="F714" s="56" t="n"/>
      <c r="G714" s="56" t="n"/>
      <c r="H714" s="56" t="n"/>
      <c r="I714" s="56" t="n"/>
      <c r="J714" s="56" t="n"/>
      <c r="K714" s="56" t="n"/>
      <c r="L714" s="56" t="n"/>
      <c r="M714" s="56">
        <f>N714-SUM(C714:L714)</f>
        <v/>
      </c>
      <c r="N714" s="57" t="n">
        <v>0</v>
      </c>
      <c r="O714" s="56" t="n"/>
      <c r="P714" s="56" t="n"/>
      <c r="Q714" s="56" t="n"/>
      <c r="R714" s="56" t="n"/>
      <c r="S714" s="56" t="n"/>
      <c r="T714" s="56" t="n"/>
      <c r="U714" s="56" t="n"/>
      <c r="V714" s="56" t="n"/>
      <c r="W714" s="56" t="n"/>
      <c r="X714" s="56" t="n"/>
    </row>
    <row r="715">
      <c r="A715" s="67" t="n">
        <v>46182</v>
      </c>
      <c r="B715" s="55" t="inlineStr">
        <is>
          <t>天籁·鸿蒙座舱</t>
        </is>
      </c>
      <c r="C715" s="56" t="n"/>
      <c r="D715" s="56" t="n"/>
      <c r="E715" s="56" t="n"/>
      <c r="F715" s="56" t="n"/>
      <c r="G715" s="56" t="n"/>
      <c r="H715" s="56" t="n"/>
      <c r="I715" s="56" t="n"/>
      <c r="J715" s="56" t="n"/>
      <c r="K715" s="56" t="n"/>
      <c r="L715" s="56" t="n"/>
      <c r="M715" s="56">
        <f>N715-SUM(C715:L715)</f>
        <v/>
      </c>
      <c r="N715" s="57" t="n">
        <v>0</v>
      </c>
      <c r="O715" s="56" t="n"/>
      <c r="P715" s="56" t="n"/>
      <c r="Q715" s="56" t="n"/>
      <c r="R715" s="56" t="n"/>
      <c r="S715" s="56" t="n"/>
      <c r="T715" s="56" t="n"/>
      <c r="U715" s="56" t="n"/>
      <c r="V715" s="56" t="n"/>
      <c r="W715" s="56" t="n"/>
      <c r="X715" s="56" t="n"/>
    </row>
    <row r="716">
      <c r="A716" s="67" t="n">
        <v>46183</v>
      </c>
      <c r="B716" s="55" t="inlineStr">
        <is>
          <t>天籁·鸿蒙座舱</t>
        </is>
      </c>
      <c r="C716" s="56" t="n"/>
      <c r="D716" s="56" t="n"/>
      <c r="E716" s="56" t="n"/>
      <c r="F716" s="56" t="n"/>
      <c r="G716" s="56" t="n"/>
      <c r="H716" s="56" t="n"/>
      <c r="I716" s="56" t="n"/>
      <c r="J716" s="56" t="n"/>
      <c r="K716" s="56" t="n"/>
      <c r="L716" s="56" t="n"/>
      <c r="M716" s="56">
        <f>N716-SUM(C716:L716)</f>
        <v/>
      </c>
      <c r="N716" s="57" t="n">
        <v>0</v>
      </c>
      <c r="O716" s="56" t="n"/>
      <c r="P716" s="56" t="n"/>
      <c r="Q716" s="56" t="n"/>
      <c r="R716" s="56" t="n"/>
      <c r="S716" s="56" t="n"/>
      <c r="T716" s="56" t="n"/>
      <c r="U716" s="56" t="n"/>
      <c r="V716" s="56" t="n"/>
      <c r="W716" s="56" t="n"/>
      <c r="X716" s="56" t="n"/>
    </row>
    <row r="717">
      <c r="A717" s="67" t="n">
        <v>46184</v>
      </c>
      <c r="B717" s="55" t="inlineStr">
        <is>
          <t>天籁·鸿蒙座舱</t>
        </is>
      </c>
      <c r="C717" s="56" t="n"/>
      <c r="D717" s="56" t="n"/>
      <c r="E717" s="56" t="n"/>
      <c r="F717" s="56" t="n"/>
      <c r="G717" s="56" t="n"/>
      <c r="H717" s="56" t="n"/>
      <c r="I717" s="56" t="n"/>
      <c r="J717" s="56" t="n"/>
      <c r="K717" s="56" t="n"/>
      <c r="L717" s="56" t="n"/>
      <c r="M717" s="56">
        <f>N717-SUM(C717:L717)</f>
        <v/>
      </c>
      <c r="N717" s="57" t="n">
        <v>0</v>
      </c>
      <c r="O717" s="56" t="n"/>
      <c r="P717" s="56" t="n"/>
      <c r="Q717" s="56" t="n"/>
      <c r="R717" s="56" t="n"/>
      <c r="S717" s="56" t="n"/>
      <c r="T717" s="56" t="n"/>
      <c r="U717" s="56" t="n"/>
      <c r="V717" s="56" t="n"/>
      <c r="W717" s="56" t="n"/>
      <c r="X717" s="56" t="n"/>
    </row>
    <row r="718">
      <c r="A718" s="67" t="n">
        <v>46185</v>
      </c>
      <c r="B718" s="55" t="inlineStr">
        <is>
          <t>天籁·鸿蒙座舱</t>
        </is>
      </c>
      <c r="C718" s="56" t="n"/>
      <c r="D718" s="56" t="n"/>
      <c r="E718" s="56" t="n"/>
      <c r="F718" s="56" t="n"/>
      <c r="G718" s="56" t="n"/>
      <c r="H718" s="56" t="n"/>
      <c r="I718" s="56" t="n"/>
      <c r="J718" s="56" t="n"/>
      <c r="K718" s="56" t="n"/>
      <c r="L718" s="56" t="n"/>
      <c r="M718" s="56">
        <f>N718-SUM(C718:L718)</f>
        <v/>
      </c>
      <c r="N718" s="57" t="n">
        <v>0</v>
      </c>
      <c r="O718" s="56" t="n"/>
      <c r="P718" s="56" t="n"/>
      <c r="Q718" s="56" t="n"/>
      <c r="R718" s="56" t="n"/>
      <c r="S718" s="56" t="n"/>
      <c r="T718" s="56" t="n"/>
      <c r="U718" s="56" t="n"/>
      <c r="V718" s="56" t="n"/>
      <c r="W718" s="56" t="n"/>
      <c r="X718" s="56" t="n"/>
    </row>
    <row r="719">
      <c r="A719" s="67" t="n">
        <v>46186</v>
      </c>
      <c r="B719" s="55" t="inlineStr">
        <is>
          <t>天籁·鸿蒙座舱</t>
        </is>
      </c>
      <c r="C719" s="56" t="n"/>
      <c r="D719" s="56" t="n"/>
      <c r="E719" s="56" t="n"/>
      <c r="F719" s="56" t="n"/>
      <c r="G719" s="56" t="n"/>
      <c r="H719" s="56" t="n"/>
      <c r="I719" s="56" t="n"/>
      <c r="J719" s="56" t="n"/>
      <c r="K719" s="56" t="n"/>
      <c r="L719" s="56" t="n"/>
      <c r="M719" s="56">
        <f>N719-SUM(C719:L719)</f>
        <v/>
      </c>
      <c r="N719" s="57" t="n">
        <v>0</v>
      </c>
      <c r="O719" s="56" t="n"/>
      <c r="P719" s="56" t="n"/>
      <c r="Q719" s="56" t="n"/>
      <c r="R719" s="56" t="n"/>
      <c r="S719" s="56" t="n"/>
      <c r="T719" s="56" t="n"/>
      <c r="U719" s="56" t="n"/>
      <c r="V719" s="56" t="n"/>
      <c r="W719" s="56" t="n"/>
      <c r="X719" s="56" t="n"/>
    </row>
    <row r="720">
      <c r="A720" s="67" t="n">
        <v>46187</v>
      </c>
      <c r="B720" s="55" t="inlineStr">
        <is>
          <t>天籁·鸿蒙座舱</t>
        </is>
      </c>
      <c r="C720" s="56" t="n"/>
      <c r="D720" s="56" t="n"/>
      <c r="E720" s="56" t="n"/>
      <c r="F720" s="56" t="n"/>
      <c r="G720" s="56" t="n"/>
      <c r="H720" s="56" t="n"/>
      <c r="I720" s="56" t="n"/>
      <c r="J720" s="56" t="n"/>
      <c r="K720" s="56" t="n"/>
      <c r="L720" s="56" t="n"/>
      <c r="M720" s="56">
        <f>N720-SUM(C720:L720)</f>
        <v/>
      </c>
      <c r="N720" s="57" t="n">
        <v>0</v>
      </c>
      <c r="O720" s="56" t="n"/>
      <c r="P720" s="56" t="n"/>
      <c r="Q720" s="56" t="n"/>
      <c r="R720" s="56" t="n"/>
      <c r="S720" s="56" t="n"/>
      <c r="T720" s="56" t="n"/>
      <c r="U720" s="56" t="n"/>
      <c r="V720" s="56" t="n"/>
      <c r="W720" s="56" t="n"/>
      <c r="X720" s="56" t="n"/>
    </row>
    <row r="721">
      <c r="A721" s="67" t="n">
        <v>46188</v>
      </c>
      <c r="B721" s="55" t="inlineStr">
        <is>
          <t>天籁·鸿蒙座舱</t>
        </is>
      </c>
      <c r="C721" s="56" t="n"/>
      <c r="D721" s="56" t="n"/>
      <c r="E721" s="56" t="n"/>
      <c r="F721" s="56" t="n"/>
      <c r="G721" s="56" t="n"/>
      <c r="H721" s="56" t="n"/>
      <c r="I721" s="56" t="n"/>
      <c r="J721" s="56" t="n"/>
      <c r="K721" s="56" t="n"/>
      <c r="L721" s="56" t="n"/>
      <c r="M721" s="56">
        <f>N721-SUM(C721:L721)</f>
        <v/>
      </c>
      <c r="N721" s="57" t="n">
        <v>0</v>
      </c>
      <c r="O721" s="56" t="n"/>
      <c r="P721" s="56" t="n"/>
      <c r="Q721" s="56" t="n"/>
      <c r="R721" s="56" t="n"/>
      <c r="S721" s="56" t="n"/>
      <c r="T721" s="56" t="n"/>
      <c r="U721" s="56" t="n"/>
      <c r="V721" s="56" t="n"/>
      <c r="W721" s="56" t="n"/>
      <c r="X721" s="56" t="n"/>
    </row>
    <row r="722">
      <c r="A722" s="67" t="n">
        <v>46189</v>
      </c>
      <c r="B722" s="55" t="inlineStr">
        <is>
          <t>天籁·鸿蒙座舱</t>
        </is>
      </c>
      <c r="C722" s="56" t="n"/>
      <c r="D722" s="56" t="n"/>
      <c r="E722" s="56" t="n"/>
      <c r="F722" s="56" t="n"/>
      <c r="G722" s="56" t="n"/>
      <c r="H722" s="56" t="n"/>
      <c r="I722" s="56" t="n"/>
      <c r="J722" s="56" t="n"/>
      <c r="K722" s="56" t="n"/>
      <c r="L722" s="56" t="n"/>
      <c r="M722" s="56">
        <f>N722-SUM(C722:L722)</f>
        <v/>
      </c>
      <c r="N722" s="57" t="n">
        <v>0</v>
      </c>
      <c r="O722" s="56" t="n"/>
      <c r="P722" s="56" t="n"/>
      <c r="Q722" s="56" t="n"/>
      <c r="R722" s="56" t="n"/>
      <c r="S722" s="56" t="n"/>
      <c r="T722" s="56" t="n"/>
      <c r="U722" s="56" t="n"/>
      <c r="V722" s="56" t="n"/>
      <c r="W722" s="56" t="n"/>
      <c r="X722" s="56" t="n"/>
    </row>
    <row r="723">
      <c r="A723" s="67" t="n">
        <v>46190</v>
      </c>
      <c r="B723" s="55" t="inlineStr">
        <is>
          <t>天籁·鸿蒙座舱</t>
        </is>
      </c>
      <c r="C723" s="56" t="n"/>
      <c r="D723" s="56" t="n"/>
      <c r="E723" s="56" t="n"/>
      <c r="F723" s="56" t="n"/>
      <c r="G723" s="56" t="n"/>
      <c r="H723" s="56" t="n"/>
      <c r="I723" s="56" t="n"/>
      <c r="J723" s="56" t="n"/>
      <c r="K723" s="56" t="n"/>
      <c r="L723" s="56" t="n"/>
      <c r="M723" s="56">
        <f>N723-SUM(C723:L723)</f>
        <v/>
      </c>
      <c r="N723" s="57" t="n">
        <v>0</v>
      </c>
      <c r="O723" s="56" t="n"/>
      <c r="P723" s="56" t="n"/>
      <c r="Q723" s="56" t="n"/>
      <c r="R723" s="56" t="n"/>
      <c r="S723" s="56" t="n"/>
      <c r="T723" s="56" t="n"/>
      <c r="U723" s="56" t="n"/>
      <c r="V723" s="56" t="n"/>
      <c r="W723" s="56" t="n"/>
      <c r="X723" s="56" t="n"/>
    </row>
    <row r="724">
      <c r="A724" s="67" t="n">
        <v>46191</v>
      </c>
      <c r="B724" s="55" t="inlineStr">
        <is>
          <t>天籁·鸿蒙座舱</t>
        </is>
      </c>
      <c r="C724" s="56" t="n"/>
      <c r="D724" s="56" t="n"/>
      <c r="E724" s="56" t="n"/>
      <c r="F724" s="56" t="n"/>
      <c r="G724" s="56" t="n"/>
      <c r="H724" s="56" t="n"/>
      <c r="I724" s="56" t="n"/>
      <c r="J724" s="56" t="n"/>
      <c r="K724" s="56" t="n"/>
      <c r="L724" s="56" t="n"/>
      <c r="M724" s="56">
        <f>N724-SUM(C724:L724)</f>
        <v/>
      </c>
      <c r="N724" s="57" t="n">
        <v>0</v>
      </c>
      <c r="O724" s="56" t="n"/>
      <c r="P724" s="56" t="n"/>
      <c r="Q724" s="56" t="n"/>
      <c r="R724" s="56" t="n"/>
      <c r="S724" s="56" t="n"/>
      <c r="T724" s="56" t="n"/>
      <c r="U724" s="56" t="n"/>
      <c r="V724" s="56" t="n"/>
      <c r="W724" s="56" t="n"/>
      <c r="X724" s="56" t="n"/>
    </row>
    <row r="725">
      <c r="A725" s="67" t="n">
        <v>46192</v>
      </c>
      <c r="B725" s="55" t="inlineStr">
        <is>
          <t>天籁·鸿蒙座舱</t>
        </is>
      </c>
      <c r="C725" s="56" t="n"/>
      <c r="D725" s="56" t="n"/>
      <c r="E725" s="56" t="n"/>
      <c r="F725" s="56" t="n"/>
      <c r="G725" s="56" t="n"/>
      <c r="H725" s="56" t="n"/>
      <c r="I725" s="56" t="n"/>
      <c r="J725" s="56" t="n"/>
      <c r="K725" s="56" t="n"/>
      <c r="L725" s="56" t="n"/>
      <c r="M725" s="56">
        <f>N725-SUM(C725:L725)</f>
        <v/>
      </c>
      <c r="N725" s="57" t="n">
        <v>0</v>
      </c>
      <c r="O725" s="56" t="n"/>
      <c r="P725" s="56" t="n"/>
      <c r="Q725" s="56" t="n"/>
      <c r="R725" s="56" t="n"/>
      <c r="S725" s="56" t="n"/>
      <c r="T725" s="56" t="n"/>
      <c r="U725" s="56" t="n"/>
      <c r="V725" s="56" t="n"/>
      <c r="W725" s="56" t="n"/>
      <c r="X725" s="56" t="n"/>
    </row>
    <row r="726">
      <c r="A726" s="67" t="n">
        <v>46193</v>
      </c>
      <c r="B726" s="55" t="inlineStr">
        <is>
          <t>天籁·鸿蒙座舱</t>
        </is>
      </c>
      <c r="C726" s="56" t="n"/>
      <c r="D726" s="56" t="n"/>
      <c r="E726" s="56" t="n"/>
      <c r="F726" s="56" t="n"/>
      <c r="G726" s="56" t="n"/>
      <c r="H726" s="56" t="n"/>
      <c r="I726" s="56" t="n"/>
      <c r="J726" s="56" t="n"/>
      <c r="K726" s="56" t="n"/>
      <c r="L726" s="56" t="n"/>
      <c r="M726" s="56">
        <f>N726-SUM(C726:L726)</f>
        <v/>
      </c>
      <c r="N726" s="57" t="n">
        <v>0</v>
      </c>
      <c r="O726" s="56" t="n"/>
      <c r="P726" s="56" t="n"/>
      <c r="Q726" s="56" t="n"/>
      <c r="R726" s="56" t="n"/>
      <c r="S726" s="56" t="n"/>
      <c r="T726" s="56" t="n"/>
      <c r="U726" s="56" t="n"/>
      <c r="V726" s="56" t="n"/>
      <c r="W726" s="56" t="n"/>
      <c r="X726" s="56" t="n"/>
    </row>
    <row r="727">
      <c r="A727" s="67" t="n">
        <v>46194</v>
      </c>
      <c r="B727" s="55" t="inlineStr">
        <is>
          <t>天籁·鸿蒙座舱</t>
        </is>
      </c>
      <c r="C727" s="56" t="n"/>
      <c r="D727" s="56" t="n"/>
      <c r="E727" s="56" t="n"/>
      <c r="F727" s="56" t="n"/>
      <c r="G727" s="56" t="n"/>
      <c r="H727" s="56" t="n"/>
      <c r="I727" s="56" t="n"/>
      <c r="J727" s="56" t="n"/>
      <c r="K727" s="56" t="n"/>
      <c r="L727" s="56" t="n"/>
      <c r="M727" s="56">
        <f>N727-SUM(C727:L727)</f>
        <v/>
      </c>
      <c r="N727" s="57" t="n">
        <v>0</v>
      </c>
      <c r="O727" s="56" t="n"/>
      <c r="P727" s="56" t="n"/>
      <c r="Q727" s="56" t="n"/>
      <c r="R727" s="56" t="n"/>
      <c r="S727" s="56" t="n"/>
      <c r="T727" s="56" t="n"/>
      <c r="U727" s="56" t="n"/>
      <c r="V727" s="56" t="n"/>
      <c r="W727" s="56" t="n"/>
      <c r="X727" s="56" t="n"/>
    </row>
    <row r="728">
      <c r="A728" s="67" t="n">
        <v>46195</v>
      </c>
      <c r="B728" s="55" t="inlineStr">
        <is>
          <t>天籁·鸿蒙座舱</t>
        </is>
      </c>
      <c r="C728" s="56" t="n"/>
      <c r="D728" s="56" t="n"/>
      <c r="E728" s="56" t="n"/>
      <c r="F728" s="56" t="n"/>
      <c r="G728" s="56" t="n"/>
      <c r="H728" s="56" t="n"/>
      <c r="I728" s="56" t="n"/>
      <c r="J728" s="56" t="n"/>
      <c r="K728" s="56" t="n"/>
      <c r="L728" s="56" t="n"/>
      <c r="M728" s="56">
        <f>N728-SUM(C728:L728)</f>
        <v/>
      </c>
      <c r="N728" s="57" t="n">
        <v>0</v>
      </c>
      <c r="O728" s="56" t="n"/>
      <c r="P728" s="56" t="n"/>
      <c r="Q728" s="56" t="n"/>
      <c r="R728" s="56" t="n"/>
      <c r="S728" s="56" t="n"/>
      <c r="T728" s="56" t="n"/>
      <c r="U728" s="56" t="n"/>
      <c r="V728" s="56" t="n"/>
      <c r="W728" s="56" t="n"/>
      <c r="X728" s="56" t="n"/>
    </row>
    <row r="729">
      <c r="A729" s="67" t="n">
        <v>46196</v>
      </c>
      <c r="B729" s="55" t="inlineStr">
        <is>
          <t>天籁·鸿蒙座舱</t>
        </is>
      </c>
      <c r="C729" s="56" t="n"/>
      <c r="D729" s="56" t="n"/>
      <c r="E729" s="56" t="n"/>
      <c r="F729" s="56" t="n"/>
      <c r="G729" s="56" t="n"/>
      <c r="H729" s="56" t="n"/>
      <c r="I729" s="56" t="n"/>
      <c r="J729" s="56" t="n"/>
      <c r="K729" s="56" t="n"/>
      <c r="L729" s="56" t="n"/>
      <c r="M729" s="56">
        <f>N729-SUM(C729:L729)</f>
        <v/>
      </c>
      <c r="N729" s="57" t="n">
        <v>0</v>
      </c>
      <c r="O729" s="56" t="n"/>
      <c r="P729" s="56" t="n"/>
      <c r="Q729" s="56" t="n"/>
      <c r="R729" s="56" t="n"/>
      <c r="S729" s="56" t="n"/>
      <c r="T729" s="56" t="n"/>
      <c r="U729" s="56" t="n"/>
      <c r="V729" s="56" t="n"/>
      <c r="W729" s="56" t="n"/>
      <c r="X729" s="56" t="n"/>
    </row>
    <row r="730">
      <c r="A730" s="67" t="n">
        <v>46197</v>
      </c>
      <c r="B730" s="55" t="inlineStr">
        <is>
          <t>天籁·鸿蒙座舱</t>
        </is>
      </c>
      <c r="C730" s="56" t="n"/>
      <c r="D730" s="56" t="n"/>
      <c r="E730" s="56" t="n"/>
      <c r="F730" s="56" t="n"/>
      <c r="G730" s="56" t="n"/>
      <c r="H730" s="56" t="n"/>
      <c r="I730" s="56" t="n"/>
      <c r="J730" s="56" t="n"/>
      <c r="K730" s="56" t="n"/>
      <c r="L730" s="56" t="n"/>
      <c r="M730" s="56">
        <f>N730-SUM(C730:L730)</f>
        <v/>
      </c>
      <c r="N730" s="57" t="n">
        <v>0</v>
      </c>
      <c r="O730" s="56" t="n"/>
      <c r="P730" s="56" t="n"/>
      <c r="Q730" s="56" t="n"/>
      <c r="R730" s="56" t="n"/>
      <c r="S730" s="56" t="n"/>
      <c r="T730" s="56" t="n"/>
      <c r="U730" s="56" t="n"/>
      <c r="V730" s="56" t="n"/>
      <c r="W730" s="56" t="n"/>
      <c r="X730" s="56" t="n"/>
    </row>
    <row r="731">
      <c r="A731" s="67" t="n">
        <v>46198</v>
      </c>
      <c r="B731" s="55" t="inlineStr">
        <is>
          <t>天籁·鸿蒙座舱</t>
        </is>
      </c>
      <c r="C731" s="56" t="n"/>
      <c r="D731" s="56" t="n"/>
      <c r="E731" s="56" t="n"/>
      <c r="F731" s="56" t="n"/>
      <c r="G731" s="56" t="n"/>
      <c r="H731" s="56" t="n"/>
      <c r="I731" s="56" t="n"/>
      <c r="J731" s="56" t="n"/>
      <c r="K731" s="56" t="n"/>
      <c r="L731" s="56" t="n"/>
      <c r="M731" s="56">
        <f>N731-SUM(C731:L731)</f>
        <v/>
      </c>
      <c r="N731" s="57" t="n">
        <v>0</v>
      </c>
      <c r="O731" s="56" t="n"/>
      <c r="P731" s="56" t="n"/>
      <c r="Q731" s="56" t="n"/>
      <c r="R731" s="56" t="n"/>
      <c r="S731" s="56" t="n"/>
      <c r="T731" s="56" t="n"/>
      <c r="U731" s="56" t="n"/>
      <c r="V731" s="56" t="n"/>
      <c r="W731" s="56" t="n"/>
      <c r="X731" s="56" t="n"/>
    </row>
    <row r="732">
      <c r="A732" s="67" t="n">
        <v>46199</v>
      </c>
      <c r="B732" s="55" t="inlineStr">
        <is>
          <t>天籁·鸿蒙座舱</t>
        </is>
      </c>
      <c r="C732" s="56" t="n"/>
      <c r="D732" s="56" t="n"/>
      <c r="E732" s="56" t="n"/>
      <c r="F732" s="56" t="n"/>
      <c r="G732" s="56" t="n"/>
      <c r="H732" s="56" t="n"/>
      <c r="I732" s="56" t="n"/>
      <c r="J732" s="56" t="n"/>
      <c r="K732" s="56" t="n"/>
      <c r="L732" s="56" t="n"/>
      <c r="M732" s="56">
        <f>N732-SUM(C732:L732)</f>
        <v/>
      </c>
      <c r="N732" s="57" t="n">
        <v>0</v>
      </c>
      <c r="O732" s="56" t="n"/>
      <c r="P732" s="56" t="n"/>
      <c r="Q732" s="56" t="n"/>
      <c r="R732" s="56" t="n"/>
      <c r="S732" s="56" t="n"/>
      <c r="T732" s="56" t="n"/>
      <c r="U732" s="56" t="n"/>
      <c r="V732" s="56" t="n"/>
      <c r="W732" s="56" t="n"/>
      <c r="X732" s="56" t="n"/>
    </row>
    <row r="733">
      <c r="A733" s="67" t="n">
        <v>46200</v>
      </c>
      <c r="B733" s="55" t="inlineStr">
        <is>
          <t>天籁·鸿蒙座舱</t>
        </is>
      </c>
      <c r="C733" s="56" t="n"/>
      <c r="D733" s="56" t="n"/>
      <c r="E733" s="56" t="n"/>
      <c r="F733" s="56" t="n"/>
      <c r="G733" s="56" t="n"/>
      <c r="H733" s="56" t="n"/>
      <c r="I733" s="56" t="n"/>
      <c r="J733" s="56" t="n"/>
      <c r="K733" s="56" t="n"/>
      <c r="L733" s="56" t="n"/>
      <c r="M733" s="56">
        <f>N733-SUM(C733:L733)</f>
        <v/>
      </c>
      <c r="N733" s="57" t="n">
        <v>0</v>
      </c>
      <c r="O733" s="56" t="n"/>
      <c r="P733" s="56" t="n"/>
      <c r="Q733" s="56" t="n"/>
      <c r="R733" s="56" t="n"/>
      <c r="S733" s="56" t="n"/>
      <c r="T733" s="56" t="n"/>
      <c r="U733" s="56" t="n"/>
      <c r="V733" s="56" t="n"/>
      <c r="W733" s="56" t="n"/>
      <c r="X733" s="56" t="n"/>
    </row>
    <row r="734">
      <c r="A734" s="67" t="n">
        <v>46201</v>
      </c>
      <c r="B734" s="55" t="inlineStr">
        <is>
          <t>天籁·鸿蒙座舱</t>
        </is>
      </c>
      <c r="C734" s="56" t="n"/>
      <c r="D734" s="56" t="n"/>
      <c r="E734" s="56" t="n"/>
      <c r="F734" s="56" t="n"/>
      <c r="G734" s="56" t="n"/>
      <c r="H734" s="56" t="n"/>
      <c r="I734" s="56" t="n"/>
      <c r="J734" s="56" t="n"/>
      <c r="K734" s="56" t="n"/>
      <c r="L734" s="56" t="n"/>
      <c r="M734" s="56">
        <f>N734-SUM(C734:L734)</f>
        <v/>
      </c>
      <c r="N734" s="57" t="n">
        <v>0</v>
      </c>
      <c r="O734" s="56" t="n"/>
      <c r="P734" s="56" t="n"/>
      <c r="Q734" s="56" t="n"/>
      <c r="R734" s="56" t="n"/>
      <c r="S734" s="56" t="n"/>
      <c r="T734" s="56" t="n"/>
      <c r="U734" s="56" t="n"/>
      <c r="V734" s="56" t="n"/>
      <c r="W734" s="56" t="n"/>
      <c r="X734" s="56" t="n"/>
    </row>
    <row r="735">
      <c r="A735" s="67" t="n">
        <v>46202</v>
      </c>
      <c r="B735" s="55" t="inlineStr">
        <is>
          <t>天籁·鸿蒙座舱</t>
        </is>
      </c>
      <c r="C735" s="56" t="n"/>
      <c r="D735" s="56" t="n"/>
      <c r="E735" s="56" t="n"/>
      <c r="F735" s="56" t="n"/>
      <c r="G735" s="56" t="n"/>
      <c r="H735" s="56" t="n"/>
      <c r="I735" s="56" t="n"/>
      <c r="J735" s="56" t="n"/>
      <c r="K735" s="56" t="n"/>
      <c r="L735" s="56" t="n"/>
      <c r="M735" s="56">
        <f>N735-SUM(C735:L735)</f>
        <v/>
      </c>
      <c r="N735" s="57" t="n">
        <v>0</v>
      </c>
      <c r="O735" s="56" t="n"/>
      <c r="P735" s="56" t="n"/>
      <c r="Q735" s="56" t="n"/>
      <c r="R735" s="56" t="n"/>
      <c r="S735" s="56" t="n"/>
      <c r="T735" s="56" t="n"/>
      <c r="U735" s="56" t="n"/>
      <c r="V735" s="56" t="n"/>
      <c r="W735" s="56" t="n"/>
      <c r="X735" s="56" t="n"/>
    </row>
    <row r="736">
      <c r="A736" s="67" t="n">
        <v>46203</v>
      </c>
      <c r="B736" s="55" t="inlineStr">
        <is>
          <t>天籁·鸿蒙座舱</t>
        </is>
      </c>
      <c r="C736" s="56" t="n"/>
      <c r="D736" s="56" t="n"/>
      <c r="E736" s="56" t="n"/>
      <c r="F736" s="56" t="n"/>
      <c r="G736" s="56" t="n"/>
      <c r="H736" s="56" t="n"/>
      <c r="I736" s="56" t="n"/>
      <c r="J736" s="56" t="n"/>
      <c r="K736" s="56" t="n"/>
      <c r="L736" s="56" t="n"/>
      <c r="M736" s="56">
        <f>N736-SUM(C736:L736)</f>
        <v/>
      </c>
      <c r="N736" s="57" t="n">
        <v>0</v>
      </c>
      <c r="O736" s="56" t="n"/>
      <c r="P736" s="56" t="n"/>
      <c r="Q736" s="56" t="n"/>
      <c r="R736" s="56" t="n"/>
      <c r="S736" s="56" t="n"/>
      <c r="T736" s="56" t="n"/>
      <c r="U736" s="56" t="n"/>
      <c r="V736" s="56" t="n"/>
      <c r="W736" s="56" t="n"/>
      <c r="X736" s="56" t="n"/>
    </row>
    <row r="737">
      <c r="A737" s="67" t="n">
        <v>46204</v>
      </c>
      <c r="B737" s="55" t="inlineStr">
        <is>
          <t>天籁·鸿蒙座舱</t>
        </is>
      </c>
      <c r="C737" s="56" t="n"/>
      <c r="D737" s="56" t="n"/>
      <c r="E737" s="56" t="n"/>
      <c r="F737" s="56" t="n"/>
      <c r="G737" s="56" t="n"/>
      <c r="H737" s="56" t="n"/>
      <c r="I737" s="56" t="n"/>
      <c r="J737" s="56" t="n"/>
      <c r="K737" s="56" t="n"/>
      <c r="L737" s="56" t="n"/>
      <c r="M737" s="56">
        <f>N737-SUM(C737:L737)</f>
        <v/>
      </c>
      <c r="N737" s="57" t="n">
        <v>0</v>
      </c>
      <c r="O737" s="56" t="n"/>
      <c r="P737" s="56" t="n"/>
      <c r="Q737" s="56" t="n"/>
      <c r="R737" s="56" t="n"/>
      <c r="S737" s="56" t="n"/>
      <c r="T737" s="56" t="n"/>
      <c r="U737" s="56" t="n"/>
      <c r="V737" s="56" t="n"/>
      <c r="W737" s="56" t="n"/>
      <c r="X737" s="56" t="n"/>
    </row>
    <row r="738">
      <c r="A738" s="67" t="n">
        <v>46205</v>
      </c>
      <c r="B738" s="55" t="inlineStr">
        <is>
          <t>天籁·鸿蒙座舱</t>
        </is>
      </c>
      <c r="C738" s="56" t="n"/>
      <c r="D738" s="56" t="n"/>
      <c r="E738" s="56" t="n"/>
      <c r="F738" s="56" t="n"/>
      <c r="G738" s="56" t="n"/>
      <c r="H738" s="56" t="n"/>
      <c r="I738" s="56" t="n"/>
      <c r="J738" s="56" t="n"/>
      <c r="K738" s="56" t="n"/>
      <c r="L738" s="56" t="n"/>
      <c r="M738" s="56">
        <f>N738-SUM(C738:L738)</f>
        <v/>
      </c>
      <c r="N738" s="57" t="n">
        <v>0</v>
      </c>
      <c r="O738" s="56" t="n"/>
      <c r="P738" s="56" t="n"/>
      <c r="Q738" s="56" t="n"/>
      <c r="R738" s="56" t="n"/>
      <c r="S738" s="56" t="n"/>
      <c r="T738" s="56" t="n"/>
      <c r="U738" s="56" t="n"/>
      <c r="V738" s="56" t="n"/>
      <c r="W738" s="56" t="n"/>
      <c r="X738" s="56" t="n"/>
    </row>
    <row r="739">
      <c r="A739" s="67" t="n">
        <v>46206</v>
      </c>
      <c r="B739" s="55" t="inlineStr">
        <is>
          <t>天籁·鸿蒙座舱</t>
        </is>
      </c>
      <c r="C739" s="56" t="n"/>
      <c r="D739" s="56" t="n"/>
      <c r="E739" s="56" t="n"/>
      <c r="F739" s="56" t="n"/>
      <c r="G739" s="56" t="n"/>
      <c r="H739" s="56" t="n"/>
      <c r="I739" s="56" t="n"/>
      <c r="J739" s="56" t="n"/>
      <c r="K739" s="56" t="n"/>
      <c r="L739" s="56" t="n"/>
      <c r="M739" s="56">
        <f>N739-SUM(C739:L739)</f>
        <v/>
      </c>
      <c r="N739" s="57" t="n">
        <v>0</v>
      </c>
      <c r="O739" s="56" t="n"/>
      <c r="P739" s="56" t="n"/>
      <c r="Q739" s="56" t="n"/>
      <c r="R739" s="56" t="n"/>
      <c r="S739" s="56" t="n"/>
      <c r="T739" s="56" t="n"/>
      <c r="U739" s="56" t="n"/>
      <c r="V739" s="56" t="n"/>
      <c r="W739" s="56" t="n"/>
      <c r="X739" s="56" t="n"/>
    </row>
    <row r="740">
      <c r="A740" s="67" t="n">
        <v>46207</v>
      </c>
      <c r="B740" s="55" t="inlineStr">
        <is>
          <t>天籁·鸿蒙座舱</t>
        </is>
      </c>
      <c r="C740" s="56" t="n"/>
      <c r="D740" s="56" t="n"/>
      <c r="E740" s="56" t="n"/>
      <c r="F740" s="56" t="n"/>
      <c r="G740" s="56" t="n"/>
      <c r="H740" s="56" t="n"/>
      <c r="I740" s="56" t="n"/>
      <c r="J740" s="56" t="n"/>
      <c r="K740" s="56" t="n"/>
      <c r="L740" s="56" t="n"/>
      <c r="M740" s="56">
        <f>N740-SUM(C740:L740)</f>
        <v/>
      </c>
      <c r="N740" s="57" t="n">
        <v>0</v>
      </c>
      <c r="O740" s="56" t="n"/>
      <c r="P740" s="56" t="n"/>
      <c r="Q740" s="56" t="n"/>
      <c r="R740" s="56" t="n"/>
      <c r="S740" s="56" t="n"/>
      <c r="T740" s="56" t="n"/>
      <c r="U740" s="56" t="n"/>
      <c r="V740" s="56" t="n"/>
      <c r="W740" s="56" t="n"/>
      <c r="X740" s="56" t="n"/>
    </row>
    <row r="741">
      <c r="A741" s="67" t="n">
        <v>46208</v>
      </c>
      <c r="B741" s="55" t="inlineStr">
        <is>
          <t>天籁·鸿蒙座舱</t>
        </is>
      </c>
      <c r="C741" s="56" t="n"/>
      <c r="D741" s="56" t="n"/>
      <c r="E741" s="56" t="n"/>
      <c r="F741" s="56" t="n"/>
      <c r="G741" s="56" t="n"/>
      <c r="H741" s="56" t="n"/>
      <c r="I741" s="56" t="n"/>
      <c r="J741" s="56" t="n"/>
      <c r="K741" s="56" t="n"/>
      <c r="L741" s="56" t="n"/>
      <c r="M741" s="56">
        <f>N741-SUM(C741:L741)</f>
        <v/>
      </c>
      <c r="N741" s="57" t="n">
        <v>0</v>
      </c>
      <c r="O741" s="56" t="n"/>
      <c r="P741" s="56" t="n"/>
      <c r="Q741" s="56" t="n"/>
      <c r="R741" s="56" t="n"/>
      <c r="S741" s="56" t="n"/>
      <c r="T741" s="56" t="n"/>
      <c r="U741" s="56" t="n"/>
      <c r="V741" s="56" t="n"/>
      <c r="W741" s="56" t="n"/>
      <c r="X741" s="56" t="n"/>
    </row>
    <row r="742">
      <c r="A742" s="67" t="n">
        <v>46209</v>
      </c>
      <c r="B742" s="55" t="inlineStr">
        <is>
          <t>天籁·鸿蒙座舱</t>
        </is>
      </c>
      <c r="C742" s="56" t="n"/>
      <c r="D742" s="56" t="n"/>
      <c r="E742" s="56" t="n"/>
      <c r="F742" s="56" t="n"/>
      <c r="G742" s="56" t="n"/>
      <c r="H742" s="56" t="n"/>
      <c r="I742" s="56" t="n"/>
      <c r="J742" s="56" t="n"/>
      <c r="K742" s="56" t="n"/>
      <c r="L742" s="56" t="n"/>
      <c r="M742" s="56">
        <f>N742-SUM(C742:L742)</f>
        <v/>
      </c>
      <c r="N742" s="57" t="n">
        <v>0</v>
      </c>
      <c r="O742" s="56" t="n"/>
      <c r="P742" s="56" t="n"/>
      <c r="Q742" s="56" t="n"/>
      <c r="R742" s="56" t="n"/>
      <c r="S742" s="56" t="n"/>
      <c r="T742" s="56" t="n"/>
      <c r="U742" s="56" t="n"/>
      <c r="V742" s="56" t="n"/>
      <c r="W742" s="56" t="n"/>
      <c r="X742" s="56" t="n"/>
    </row>
    <row r="743">
      <c r="A743" s="67" t="n">
        <v>46210</v>
      </c>
      <c r="B743" s="55" t="inlineStr">
        <is>
          <t>天籁·鸿蒙座舱</t>
        </is>
      </c>
      <c r="C743" s="56" t="n"/>
      <c r="D743" s="56" t="n"/>
      <c r="E743" s="56" t="n"/>
      <c r="F743" s="56" t="n"/>
      <c r="G743" s="56" t="n"/>
      <c r="H743" s="56" t="n"/>
      <c r="I743" s="56" t="n"/>
      <c r="J743" s="56" t="n"/>
      <c r="K743" s="56" t="n"/>
      <c r="L743" s="56" t="n"/>
      <c r="M743" s="56">
        <f>N743-SUM(C743:L743)</f>
        <v/>
      </c>
      <c r="N743" s="57" t="n">
        <v>0</v>
      </c>
      <c r="O743" s="56" t="n"/>
      <c r="P743" s="56" t="n"/>
      <c r="Q743" s="56" t="n"/>
      <c r="R743" s="56" t="n"/>
      <c r="S743" s="56" t="n"/>
      <c r="T743" s="56" t="n"/>
      <c r="U743" s="56" t="n"/>
      <c r="V743" s="56" t="n"/>
      <c r="W743" s="56" t="n"/>
      <c r="X743" s="56" t="n"/>
    </row>
    <row r="744">
      <c r="A744" s="67" t="n">
        <v>46211</v>
      </c>
      <c r="B744" s="55" t="inlineStr">
        <is>
          <t>天籁·鸿蒙座舱</t>
        </is>
      </c>
      <c r="C744" s="56" t="n"/>
      <c r="D744" s="56" t="n"/>
      <c r="E744" s="56" t="n"/>
      <c r="F744" s="56" t="n"/>
      <c r="G744" s="56" t="n"/>
      <c r="H744" s="56" t="n"/>
      <c r="I744" s="56" t="n"/>
      <c r="J744" s="56" t="n"/>
      <c r="K744" s="56" t="n"/>
      <c r="L744" s="56" t="n"/>
      <c r="M744" s="56">
        <f>N744-SUM(C744:L744)</f>
        <v/>
      </c>
      <c r="N744" s="57" t="n">
        <v>0</v>
      </c>
      <c r="O744" s="56" t="n"/>
      <c r="P744" s="56" t="n"/>
      <c r="Q744" s="56" t="n"/>
      <c r="R744" s="56" t="n"/>
      <c r="S744" s="56" t="n"/>
      <c r="T744" s="56" t="n"/>
      <c r="U744" s="56" t="n"/>
      <c r="V744" s="56" t="n"/>
      <c r="W744" s="56" t="n"/>
      <c r="X744" s="56" t="n"/>
    </row>
    <row r="745">
      <c r="A745" s="67" t="n">
        <v>46212</v>
      </c>
      <c r="B745" s="55" t="inlineStr">
        <is>
          <t>天籁·鸿蒙座舱</t>
        </is>
      </c>
      <c r="C745" s="56" t="n"/>
      <c r="D745" s="56" t="n"/>
      <c r="E745" s="56" t="n"/>
      <c r="F745" s="56" t="n"/>
      <c r="G745" s="56" t="n"/>
      <c r="H745" s="56" t="n"/>
      <c r="I745" s="56" t="n"/>
      <c r="J745" s="56" t="n"/>
      <c r="K745" s="56" t="n"/>
      <c r="L745" s="56" t="n"/>
      <c r="M745" s="56">
        <f>N745-SUM(C745:L745)</f>
        <v/>
      </c>
      <c r="N745" s="57" t="n">
        <v>0</v>
      </c>
      <c r="O745" s="56" t="n"/>
      <c r="P745" s="56" t="n"/>
      <c r="Q745" s="56" t="n"/>
      <c r="R745" s="56" t="n"/>
      <c r="S745" s="56" t="n"/>
      <c r="T745" s="56" t="n"/>
      <c r="U745" s="56" t="n"/>
      <c r="V745" s="56" t="n"/>
      <c r="W745" s="56" t="n"/>
      <c r="X745" s="56" t="n"/>
    </row>
    <row r="746">
      <c r="A746" s="67" t="n">
        <v>46213</v>
      </c>
      <c r="B746" s="55" t="inlineStr">
        <is>
          <t>天籁·鸿蒙座舱</t>
        </is>
      </c>
      <c r="C746" s="56" t="n"/>
      <c r="D746" s="56" t="n"/>
      <c r="E746" s="56" t="n"/>
      <c r="F746" s="56" t="n"/>
      <c r="G746" s="56" t="n"/>
      <c r="H746" s="56" t="n"/>
      <c r="I746" s="56" t="n"/>
      <c r="J746" s="56" t="n"/>
      <c r="K746" s="56" t="n"/>
      <c r="L746" s="56" t="n"/>
      <c r="M746" s="56">
        <f>N746-SUM(C746:L746)</f>
        <v/>
      </c>
      <c r="N746" s="57" t="n">
        <v>0</v>
      </c>
      <c r="O746" s="56" t="n"/>
      <c r="P746" s="56" t="n"/>
      <c r="Q746" s="56" t="n"/>
      <c r="R746" s="56" t="n"/>
      <c r="S746" s="56" t="n"/>
      <c r="T746" s="56" t="n"/>
      <c r="U746" s="56" t="n"/>
      <c r="V746" s="56" t="n"/>
      <c r="W746" s="56" t="n"/>
      <c r="X746" s="56" t="n"/>
    </row>
    <row r="747">
      <c r="A747" s="67" t="n">
        <v>46214</v>
      </c>
      <c r="B747" s="55" t="inlineStr">
        <is>
          <t>天籁·鸿蒙座舱</t>
        </is>
      </c>
      <c r="C747" s="56" t="n"/>
      <c r="D747" s="56" t="n"/>
      <c r="E747" s="56" t="n"/>
      <c r="F747" s="56" t="n"/>
      <c r="G747" s="56" t="n"/>
      <c r="H747" s="56" t="n"/>
      <c r="I747" s="56" t="n"/>
      <c r="J747" s="56" t="n"/>
      <c r="K747" s="56" t="n"/>
      <c r="L747" s="56" t="n"/>
      <c r="M747" s="56">
        <f>N747-SUM(C747:L747)</f>
        <v/>
      </c>
      <c r="N747" s="57" t="n">
        <v>0</v>
      </c>
      <c r="O747" s="56" t="n"/>
      <c r="P747" s="56" t="n"/>
      <c r="Q747" s="56" t="n"/>
      <c r="R747" s="56" t="n"/>
      <c r="S747" s="56" t="n"/>
      <c r="T747" s="56" t="n"/>
      <c r="U747" s="56" t="n"/>
      <c r="V747" s="56" t="n"/>
      <c r="W747" s="56" t="n"/>
      <c r="X747" s="56" t="n"/>
    </row>
    <row r="748">
      <c r="A748" s="67" t="n">
        <v>46215</v>
      </c>
      <c r="B748" s="55" t="inlineStr">
        <is>
          <t>天籁·鸿蒙座舱</t>
        </is>
      </c>
      <c r="C748" s="56" t="n"/>
      <c r="D748" s="56" t="n"/>
      <c r="E748" s="56" t="n"/>
      <c r="F748" s="56" t="n"/>
      <c r="G748" s="56" t="n"/>
      <c r="H748" s="56" t="n"/>
      <c r="I748" s="56" t="n"/>
      <c r="J748" s="56" t="n"/>
      <c r="K748" s="56" t="n"/>
      <c r="L748" s="56" t="n"/>
      <c r="M748" s="56">
        <f>N748-SUM(C748:L748)</f>
        <v/>
      </c>
      <c r="N748" s="57" t="n">
        <v>0</v>
      </c>
      <c r="O748" s="56" t="n"/>
      <c r="P748" s="56" t="n"/>
      <c r="Q748" s="56" t="n"/>
      <c r="R748" s="56" t="n"/>
      <c r="S748" s="56" t="n"/>
      <c r="T748" s="56" t="n"/>
      <c r="U748" s="56" t="n"/>
      <c r="V748" s="56" t="n"/>
      <c r="W748" s="56" t="n"/>
      <c r="X748" s="56" t="n"/>
    </row>
    <row r="749">
      <c r="A749" s="67" t="n">
        <v>46216</v>
      </c>
      <c r="B749" s="55" t="inlineStr">
        <is>
          <t>天籁·鸿蒙座舱</t>
        </is>
      </c>
      <c r="C749" s="56" t="n"/>
      <c r="D749" s="56" t="n"/>
      <c r="E749" s="56" t="n"/>
      <c r="F749" s="56" t="n"/>
      <c r="G749" s="56" t="n"/>
      <c r="H749" s="56" t="n"/>
      <c r="I749" s="56" t="n"/>
      <c r="J749" s="56" t="n"/>
      <c r="K749" s="56" t="n"/>
      <c r="L749" s="56" t="n"/>
      <c r="M749" s="56">
        <f>N749-SUM(C749:L749)</f>
        <v/>
      </c>
      <c r="N749" s="57" t="n">
        <v>0</v>
      </c>
      <c r="O749" s="56" t="n"/>
      <c r="P749" s="56" t="n"/>
      <c r="Q749" s="56" t="n"/>
      <c r="R749" s="56" t="n"/>
      <c r="S749" s="56" t="n"/>
      <c r="T749" s="56" t="n"/>
      <c r="U749" s="56" t="n"/>
      <c r="V749" s="56" t="n"/>
      <c r="W749" s="56" t="n"/>
      <c r="X749" s="56" t="n"/>
    </row>
    <row r="750">
      <c r="A750" s="67" t="n">
        <v>46217</v>
      </c>
      <c r="B750" s="55" t="inlineStr">
        <is>
          <t>天籁·鸿蒙座舱</t>
        </is>
      </c>
      <c r="C750" s="56" t="n"/>
      <c r="D750" s="56" t="n"/>
      <c r="E750" s="56" t="n"/>
      <c r="F750" s="56" t="n"/>
      <c r="G750" s="56" t="n"/>
      <c r="H750" s="56" t="n"/>
      <c r="I750" s="56" t="n"/>
      <c r="J750" s="56" t="n"/>
      <c r="K750" s="56" t="n"/>
      <c r="L750" s="56" t="n"/>
      <c r="M750" s="56">
        <f>N750-SUM(C750:L750)</f>
        <v/>
      </c>
      <c r="N750" s="57" t="n">
        <v>0</v>
      </c>
      <c r="O750" s="56" t="n"/>
      <c r="P750" s="56" t="n"/>
      <c r="Q750" s="56" t="n"/>
      <c r="R750" s="56" t="n"/>
      <c r="S750" s="56" t="n"/>
      <c r="T750" s="56" t="n"/>
      <c r="U750" s="56" t="n"/>
      <c r="V750" s="56" t="n"/>
      <c r="W750" s="56" t="n"/>
      <c r="X750" s="56" t="n"/>
    </row>
    <row r="751">
      <c r="A751" s="67" t="n">
        <v>46218</v>
      </c>
      <c r="B751" s="55" t="inlineStr">
        <is>
          <t>天籁·鸿蒙座舱</t>
        </is>
      </c>
      <c r="C751" s="56" t="n"/>
      <c r="D751" s="56" t="n"/>
      <c r="E751" s="56" t="n"/>
      <c r="F751" s="56" t="n"/>
      <c r="G751" s="56" t="n"/>
      <c r="H751" s="56" t="n"/>
      <c r="I751" s="56" t="n"/>
      <c r="J751" s="56" t="n"/>
      <c r="K751" s="56" t="n"/>
      <c r="L751" s="56" t="n"/>
      <c r="M751" s="56">
        <f>N751-SUM(C751:L751)</f>
        <v/>
      </c>
      <c r="N751" s="57" t="n">
        <v>0</v>
      </c>
      <c r="O751" s="56" t="n"/>
      <c r="P751" s="56" t="n"/>
      <c r="Q751" s="56" t="n"/>
      <c r="R751" s="56" t="n"/>
      <c r="S751" s="56" t="n"/>
      <c r="T751" s="56" t="n"/>
      <c r="U751" s="56" t="n"/>
      <c r="V751" s="56" t="n"/>
      <c r="W751" s="56" t="n"/>
      <c r="X751" s="56" t="n"/>
    </row>
    <row r="752">
      <c r="A752" s="67" t="n">
        <v>46219</v>
      </c>
      <c r="B752" s="55" t="inlineStr">
        <is>
          <t>天籁·鸿蒙座舱</t>
        </is>
      </c>
      <c r="C752" s="56" t="n"/>
      <c r="D752" s="56" t="n"/>
      <c r="E752" s="56" t="n"/>
      <c r="F752" s="56" t="n"/>
      <c r="G752" s="56" t="n"/>
      <c r="H752" s="56" t="n"/>
      <c r="I752" s="56" t="n"/>
      <c r="J752" s="56" t="n"/>
      <c r="K752" s="56" t="n"/>
      <c r="L752" s="56" t="n"/>
      <c r="M752" s="56">
        <f>N752-SUM(C752:L752)</f>
        <v/>
      </c>
      <c r="N752" s="57" t="n">
        <v>0</v>
      </c>
      <c r="O752" s="56" t="n"/>
      <c r="P752" s="56" t="n"/>
      <c r="Q752" s="56" t="n"/>
      <c r="R752" s="56" t="n"/>
      <c r="S752" s="56" t="n"/>
      <c r="T752" s="56" t="n"/>
      <c r="U752" s="56" t="n"/>
      <c r="V752" s="56" t="n"/>
      <c r="W752" s="56" t="n"/>
      <c r="X752" s="56" t="n"/>
    </row>
    <row r="753">
      <c r="A753" s="67" t="n">
        <v>46220</v>
      </c>
      <c r="B753" s="55" t="inlineStr">
        <is>
          <t>天籁·鸿蒙座舱</t>
        </is>
      </c>
      <c r="C753" s="56" t="n"/>
      <c r="D753" s="56" t="n"/>
      <c r="E753" s="56" t="n"/>
      <c r="F753" s="56" t="n"/>
      <c r="G753" s="56" t="n"/>
      <c r="H753" s="56" t="n"/>
      <c r="I753" s="56" t="n"/>
      <c r="J753" s="56" t="n"/>
      <c r="K753" s="56" t="n"/>
      <c r="L753" s="56" t="n"/>
      <c r="M753" s="56">
        <f>N753-SUM(C753:L753)</f>
        <v/>
      </c>
      <c r="N753" s="57" t="n">
        <v>0</v>
      </c>
      <c r="O753" s="56" t="n"/>
      <c r="P753" s="56" t="n"/>
      <c r="Q753" s="56" t="n"/>
      <c r="R753" s="56" t="n"/>
      <c r="S753" s="56" t="n"/>
      <c r="T753" s="56" t="n"/>
      <c r="U753" s="56" t="n"/>
      <c r="V753" s="56" t="n"/>
      <c r="W753" s="56" t="n"/>
      <c r="X753" s="56" t="n"/>
    </row>
    <row r="754">
      <c r="A754" s="67" t="n">
        <v>46221</v>
      </c>
      <c r="B754" s="55" t="inlineStr">
        <is>
          <t>天籁·鸿蒙座舱</t>
        </is>
      </c>
      <c r="C754" s="56" t="n"/>
      <c r="D754" s="56" t="n"/>
      <c r="E754" s="56" t="n"/>
      <c r="F754" s="56" t="n"/>
      <c r="G754" s="56" t="n"/>
      <c r="H754" s="56" t="n"/>
      <c r="I754" s="56" t="n"/>
      <c r="J754" s="56" t="n"/>
      <c r="K754" s="56" t="n"/>
      <c r="L754" s="56" t="n"/>
      <c r="M754" s="56">
        <f>N754-SUM(C754:L754)</f>
        <v/>
      </c>
      <c r="N754" s="57" t="n">
        <v>0</v>
      </c>
      <c r="O754" s="56" t="n"/>
      <c r="P754" s="56" t="n"/>
      <c r="Q754" s="56" t="n"/>
      <c r="R754" s="56" t="n"/>
      <c r="S754" s="56" t="n"/>
      <c r="T754" s="56" t="n"/>
      <c r="U754" s="56" t="n"/>
      <c r="V754" s="56" t="n"/>
      <c r="W754" s="56" t="n"/>
      <c r="X754" s="56" t="n"/>
    </row>
    <row r="755">
      <c r="A755" s="67" t="n">
        <v>46222</v>
      </c>
      <c r="B755" s="55" t="inlineStr">
        <is>
          <t>天籁·鸿蒙座舱</t>
        </is>
      </c>
      <c r="C755" s="56" t="n"/>
      <c r="D755" s="56" t="n"/>
      <c r="E755" s="56" t="n"/>
      <c r="F755" s="56" t="n"/>
      <c r="G755" s="56" t="n"/>
      <c r="H755" s="56" t="n"/>
      <c r="I755" s="56" t="n"/>
      <c r="J755" s="56" t="n"/>
      <c r="K755" s="56" t="n"/>
      <c r="L755" s="56" t="n"/>
      <c r="M755" s="56">
        <f>N755-SUM(C755:L755)</f>
        <v/>
      </c>
      <c r="N755" s="57" t="n">
        <v>0</v>
      </c>
      <c r="O755" s="56" t="n"/>
      <c r="P755" s="56" t="n"/>
      <c r="Q755" s="56" t="n"/>
      <c r="R755" s="56" t="n"/>
      <c r="S755" s="56" t="n"/>
      <c r="T755" s="56" t="n"/>
      <c r="U755" s="56" t="n"/>
      <c r="V755" s="56" t="n"/>
      <c r="W755" s="56" t="n"/>
      <c r="X755" s="56" t="n"/>
    </row>
    <row r="756">
      <c r="A756" s="67" t="n">
        <v>46223</v>
      </c>
      <c r="B756" s="55" t="inlineStr">
        <is>
          <t>天籁·鸿蒙座舱</t>
        </is>
      </c>
      <c r="C756" s="56" t="n"/>
      <c r="D756" s="56" t="n"/>
      <c r="E756" s="56" t="n"/>
      <c r="F756" s="56" t="n"/>
      <c r="G756" s="56" t="n"/>
      <c r="H756" s="56" t="n"/>
      <c r="I756" s="56" t="n"/>
      <c r="J756" s="56" t="n"/>
      <c r="K756" s="56" t="n"/>
      <c r="L756" s="56" t="n"/>
      <c r="M756" s="56">
        <f>N756-SUM(C756:L756)</f>
        <v/>
      </c>
      <c r="N756" s="57" t="n">
        <v>0</v>
      </c>
      <c r="O756" s="56" t="n"/>
      <c r="P756" s="56" t="n"/>
      <c r="Q756" s="56" t="n"/>
      <c r="R756" s="56" t="n"/>
      <c r="S756" s="56" t="n"/>
      <c r="T756" s="56" t="n"/>
      <c r="U756" s="56" t="n"/>
      <c r="V756" s="56" t="n"/>
      <c r="W756" s="56" t="n"/>
      <c r="X756" s="56" t="n"/>
    </row>
    <row r="757">
      <c r="A757" s="67" t="n">
        <v>46224</v>
      </c>
      <c r="B757" s="55" t="inlineStr">
        <is>
          <t>天籁·鸿蒙座舱</t>
        </is>
      </c>
      <c r="C757" s="56" t="n"/>
      <c r="D757" s="56" t="n"/>
      <c r="E757" s="56" t="n"/>
      <c r="F757" s="56" t="n"/>
      <c r="G757" s="56" t="n"/>
      <c r="H757" s="56" t="n"/>
      <c r="I757" s="56" t="n"/>
      <c r="J757" s="56" t="n"/>
      <c r="K757" s="56" t="n"/>
      <c r="L757" s="56" t="n"/>
      <c r="M757" s="56">
        <f>N757-SUM(C757:L757)</f>
        <v/>
      </c>
      <c r="N757" s="57" t="n">
        <v>0</v>
      </c>
      <c r="O757" s="56" t="n"/>
      <c r="P757" s="56" t="n"/>
      <c r="Q757" s="56" t="n"/>
      <c r="R757" s="56" t="n"/>
      <c r="S757" s="56" t="n"/>
      <c r="T757" s="56" t="n"/>
      <c r="U757" s="56" t="n"/>
      <c r="V757" s="56" t="n"/>
      <c r="W757" s="56" t="n"/>
      <c r="X757" s="56" t="n"/>
    </row>
    <row r="758">
      <c r="A758" s="67" t="n">
        <v>46225</v>
      </c>
      <c r="B758" s="55" t="inlineStr">
        <is>
          <t>天籁·鸿蒙座舱</t>
        </is>
      </c>
      <c r="C758" s="56" t="n"/>
      <c r="D758" s="56" t="n"/>
      <c r="E758" s="56" t="n"/>
      <c r="F758" s="56" t="n"/>
      <c r="G758" s="56" t="n"/>
      <c r="H758" s="56" t="n"/>
      <c r="I758" s="56" t="n"/>
      <c r="J758" s="56" t="n"/>
      <c r="K758" s="56" t="n"/>
      <c r="L758" s="56" t="n"/>
      <c r="M758" s="56">
        <f>N758-SUM(C758:L758)</f>
        <v/>
      </c>
      <c r="N758" s="57" t="n">
        <v>0</v>
      </c>
      <c r="O758" s="56" t="n"/>
      <c r="P758" s="56" t="n"/>
      <c r="Q758" s="56" t="n"/>
      <c r="R758" s="56" t="n"/>
      <c r="S758" s="56" t="n"/>
      <c r="T758" s="56" t="n"/>
      <c r="U758" s="56" t="n"/>
      <c r="V758" s="56" t="n"/>
      <c r="W758" s="56" t="n"/>
      <c r="X758" s="56" t="n"/>
    </row>
    <row r="759">
      <c r="A759" s="67" t="n">
        <v>46226</v>
      </c>
      <c r="B759" s="55" t="inlineStr">
        <is>
          <t>天籁·鸿蒙座舱</t>
        </is>
      </c>
      <c r="C759" s="56" t="n"/>
      <c r="D759" s="56" t="n"/>
      <c r="E759" s="56" t="n"/>
      <c r="F759" s="56" t="n"/>
      <c r="G759" s="56" t="n"/>
      <c r="H759" s="56" t="n"/>
      <c r="I759" s="56" t="n"/>
      <c r="J759" s="56" t="n"/>
      <c r="K759" s="56" t="n"/>
      <c r="L759" s="56" t="n"/>
      <c r="M759" s="56">
        <f>N759-SUM(C759:L759)</f>
        <v/>
      </c>
      <c r="N759" s="57" t="n">
        <v>0</v>
      </c>
      <c r="O759" s="56" t="n"/>
      <c r="P759" s="56" t="n"/>
      <c r="Q759" s="56" t="n"/>
      <c r="R759" s="56" t="n"/>
      <c r="S759" s="56" t="n"/>
      <c r="T759" s="56" t="n"/>
      <c r="U759" s="56" t="n"/>
      <c r="V759" s="56" t="n"/>
      <c r="W759" s="56" t="n"/>
      <c r="X759" s="56" t="n"/>
    </row>
    <row r="760">
      <c r="A760" s="67" t="n">
        <v>46227</v>
      </c>
      <c r="B760" s="55" t="inlineStr">
        <is>
          <t>天籁·鸿蒙座舱</t>
        </is>
      </c>
      <c r="C760" s="56" t="n"/>
      <c r="D760" s="56" t="n"/>
      <c r="E760" s="56" t="n"/>
      <c r="F760" s="56" t="n"/>
      <c r="G760" s="56" t="n"/>
      <c r="H760" s="56" t="n"/>
      <c r="I760" s="56" t="n"/>
      <c r="J760" s="56" t="n"/>
      <c r="K760" s="56" t="n"/>
      <c r="L760" s="56" t="n"/>
      <c r="M760" s="56">
        <f>N760-SUM(C760:L760)</f>
        <v/>
      </c>
      <c r="N760" s="57" t="n">
        <v>0</v>
      </c>
      <c r="O760" s="56" t="n"/>
      <c r="P760" s="56" t="n"/>
      <c r="Q760" s="56" t="n"/>
      <c r="R760" s="56" t="n"/>
      <c r="S760" s="56" t="n"/>
      <c r="T760" s="56" t="n"/>
      <c r="U760" s="56" t="n"/>
      <c r="V760" s="56" t="n"/>
      <c r="W760" s="56" t="n"/>
      <c r="X760" s="56" t="n"/>
    </row>
    <row r="761">
      <c r="A761" s="67" t="n">
        <v>46228</v>
      </c>
      <c r="B761" s="55" t="inlineStr">
        <is>
          <t>天籁·鸿蒙座舱</t>
        </is>
      </c>
      <c r="C761" s="56" t="n"/>
      <c r="D761" s="56" t="n"/>
      <c r="E761" s="56" t="n"/>
      <c r="F761" s="56" t="n"/>
      <c r="G761" s="56" t="n"/>
      <c r="H761" s="56" t="n"/>
      <c r="I761" s="56" t="n"/>
      <c r="J761" s="56" t="n"/>
      <c r="K761" s="56" t="n"/>
      <c r="L761" s="56" t="n"/>
      <c r="M761" s="56">
        <f>N761-SUM(C761:L761)</f>
        <v/>
      </c>
      <c r="N761" s="57" t="n">
        <v>0</v>
      </c>
      <c r="O761" s="56" t="n"/>
      <c r="P761" s="56" t="n"/>
      <c r="Q761" s="56" t="n"/>
      <c r="R761" s="56" t="n"/>
      <c r="S761" s="56" t="n"/>
      <c r="T761" s="56" t="n"/>
      <c r="U761" s="56" t="n"/>
      <c r="V761" s="56" t="n"/>
      <c r="W761" s="56" t="n"/>
      <c r="X761" s="56" t="n"/>
    </row>
    <row r="762">
      <c r="A762" s="67" t="n">
        <v>46229</v>
      </c>
      <c r="B762" s="55" t="inlineStr">
        <is>
          <t>天籁·鸿蒙座舱</t>
        </is>
      </c>
      <c r="C762" s="56" t="n"/>
      <c r="D762" s="56" t="n"/>
      <c r="E762" s="56" t="n"/>
      <c r="F762" s="56" t="n"/>
      <c r="G762" s="56" t="n"/>
      <c r="H762" s="56" t="n"/>
      <c r="I762" s="56" t="n"/>
      <c r="J762" s="56" t="n"/>
      <c r="K762" s="56" t="n"/>
      <c r="L762" s="56" t="n"/>
      <c r="M762" s="56">
        <f>N762-SUM(C762:L762)</f>
        <v/>
      </c>
      <c r="N762" s="57" t="n">
        <v>0</v>
      </c>
      <c r="O762" s="56" t="n"/>
      <c r="P762" s="56" t="n"/>
      <c r="Q762" s="56" t="n"/>
      <c r="R762" s="56" t="n"/>
      <c r="S762" s="56" t="n"/>
      <c r="T762" s="56" t="n"/>
      <c r="U762" s="56" t="n"/>
      <c r="V762" s="56" t="n"/>
      <c r="W762" s="56" t="n"/>
      <c r="X762" s="56" t="n"/>
    </row>
    <row r="763">
      <c r="A763" s="67" t="n">
        <v>46230</v>
      </c>
      <c r="B763" s="55" t="inlineStr">
        <is>
          <t>天籁·鸿蒙座舱</t>
        </is>
      </c>
      <c r="C763" s="56" t="n"/>
      <c r="D763" s="56" t="n"/>
      <c r="E763" s="56" t="n"/>
      <c r="F763" s="56" t="n"/>
      <c r="G763" s="56" t="n"/>
      <c r="H763" s="56" t="n"/>
      <c r="I763" s="56" t="n"/>
      <c r="J763" s="56" t="n"/>
      <c r="K763" s="56" t="n"/>
      <c r="L763" s="56" t="n"/>
      <c r="M763" s="56">
        <f>N763-SUM(C763:L763)</f>
        <v/>
      </c>
      <c r="N763" s="57" t="n">
        <v>0</v>
      </c>
      <c r="O763" s="56" t="n"/>
      <c r="P763" s="56" t="n"/>
      <c r="Q763" s="56" t="n"/>
      <c r="R763" s="56" t="n"/>
      <c r="S763" s="56" t="n"/>
      <c r="T763" s="56" t="n"/>
      <c r="U763" s="56" t="n"/>
      <c r="V763" s="56" t="n"/>
      <c r="W763" s="56" t="n"/>
      <c r="X763" s="56" t="n"/>
    </row>
    <row r="764">
      <c r="A764" s="67" t="n">
        <v>46231</v>
      </c>
      <c r="B764" s="55" t="inlineStr">
        <is>
          <t>天籁·鸿蒙座舱</t>
        </is>
      </c>
      <c r="C764" s="56" t="n"/>
      <c r="D764" s="56" t="n"/>
      <c r="E764" s="56" t="n"/>
      <c r="F764" s="56" t="n"/>
      <c r="G764" s="56" t="n"/>
      <c r="H764" s="56" t="n"/>
      <c r="I764" s="56" t="n"/>
      <c r="J764" s="56" t="n"/>
      <c r="K764" s="56" t="n"/>
      <c r="L764" s="56" t="n"/>
      <c r="M764" s="56">
        <f>N764-SUM(C764:L764)</f>
        <v/>
      </c>
      <c r="N764" s="57" t="n">
        <v>0</v>
      </c>
      <c r="O764" s="56" t="n"/>
      <c r="P764" s="56" t="n"/>
      <c r="Q764" s="56" t="n"/>
      <c r="R764" s="56" t="n"/>
      <c r="S764" s="56" t="n"/>
      <c r="T764" s="56" t="n"/>
      <c r="U764" s="56" t="n"/>
      <c r="V764" s="56" t="n"/>
      <c r="W764" s="56" t="n"/>
      <c r="X764" s="56" t="n"/>
    </row>
    <row r="765">
      <c r="A765" s="67" t="n">
        <v>46232</v>
      </c>
      <c r="B765" s="55" t="inlineStr">
        <is>
          <t>天籁·鸿蒙座舱</t>
        </is>
      </c>
      <c r="C765" s="56" t="n"/>
      <c r="D765" s="56" t="n"/>
      <c r="E765" s="56" t="n"/>
      <c r="F765" s="56" t="n"/>
      <c r="G765" s="56" t="n"/>
      <c r="H765" s="56" t="n"/>
      <c r="I765" s="56" t="n"/>
      <c r="J765" s="56" t="n"/>
      <c r="K765" s="56" t="n"/>
      <c r="L765" s="56" t="n"/>
      <c r="M765" s="56">
        <f>N765-SUM(C765:L765)</f>
        <v/>
      </c>
      <c r="N765" s="57" t="n">
        <v>0</v>
      </c>
      <c r="O765" s="56" t="n"/>
      <c r="P765" s="56" t="n"/>
      <c r="Q765" s="56" t="n"/>
      <c r="R765" s="56" t="n"/>
      <c r="S765" s="56" t="n"/>
      <c r="T765" s="56" t="n"/>
      <c r="U765" s="56" t="n"/>
      <c r="V765" s="56" t="n"/>
      <c r="W765" s="56" t="n"/>
      <c r="X765" s="56" t="n"/>
    </row>
    <row r="766">
      <c r="A766" s="67" t="n">
        <v>46233</v>
      </c>
      <c r="B766" s="55" t="inlineStr">
        <is>
          <t>天籁·鸿蒙座舱</t>
        </is>
      </c>
      <c r="C766" s="56" t="n"/>
      <c r="D766" s="56" t="n"/>
      <c r="E766" s="56" t="n"/>
      <c r="F766" s="56" t="n"/>
      <c r="G766" s="56" t="n"/>
      <c r="H766" s="56" t="n"/>
      <c r="I766" s="56" t="n"/>
      <c r="J766" s="56" t="n"/>
      <c r="K766" s="56" t="n"/>
      <c r="L766" s="56" t="n"/>
      <c r="M766" s="56">
        <f>N766-SUM(C766:L766)</f>
        <v/>
      </c>
      <c r="N766" s="57" t="n">
        <v>0</v>
      </c>
      <c r="O766" s="56" t="n"/>
      <c r="P766" s="56" t="n"/>
      <c r="Q766" s="56" t="n"/>
      <c r="R766" s="56" t="n"/>
      <c r="S766" s="56" t="n"/>
      <c r="T766" s="56" t="n"/>
      <c r="U766" s="56" t="n"/>
      <c r="V766" s="56" t="n"/>
      <c r="W766" s="56" t="n"/>
      <c r="X766" s="56" t="n"/>
    </row>
    <row r="767">
      <c r="A767" s="67" t="n">
        <v>46234</v>
      </c>
      <c r="B767" s="55" t="inlineStr">
        <is>
          <t>天籁·鸿蒙座舱</t>
        </is>
      </c>
      <c r="C767" s="56" t="n"/>
      <c r="D767" s="56" t="n"/>
      <c r="E767" s="56" t="n"/>
      <c r="F767" s="56" t="n"/>
      <c r="G767" s="56" t="n"/>
      <c r="H767" s="56" t="n"/>
      <c r="I767" s="56" t="n"/>
      <c r="J767" s="56" t="n"/>
      <c r="K767" s="56" t="n"/>
      <c r="L767" s="56" t="n"/>
      <c r="M767" s="56">
        <f>N767-SUM(C767:L767)</f>
        <v/>
      </c>
      <c r="N767" s="57" t="n">
        <v>0</v>
      </c>
      <c r="O767" s="56" t="n"/>
      <c r="P767" s="56" t="n"/>
      <c r="Q767" s="56" t="n"/>
      <c r="R767" s="56" t="n"/>
      <c r="S767" s="56" t="n"/>
      <c r="T767" s="56" t="n"/>
      <c r="U767" s="56" t="n"/>
      <c r="V767" s="56" t="n"/>
      <c r="W767" s="56" t="n"/>
      <c r="X767" s="56" t="n"/>
    </row>
    <row r="768">
      <c r="A768" s="67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7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7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7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7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7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7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7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7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7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7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7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7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7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7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7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7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7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7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7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7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7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7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7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7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7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7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7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7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7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7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7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7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7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7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7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7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7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7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7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7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7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7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7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7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7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7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7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7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7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7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7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7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7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7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7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7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7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7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7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7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7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7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7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7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7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7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7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7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7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7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7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7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7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7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7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7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7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7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7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7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7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7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7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7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7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7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7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7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7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7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7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7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7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7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7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7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7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7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7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7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7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7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7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7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7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7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7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7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7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7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7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7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7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7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7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7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7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7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7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7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7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7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7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7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7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7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7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7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7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7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7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7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7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7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7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7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7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7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7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7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7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7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7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7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7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7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7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7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7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7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7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7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7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7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7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7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7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7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7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7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7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7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7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7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7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7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7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7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7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7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7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7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9" t="n">
        <v>110</v>
      </c>
      <c r="P940" s="9" t="n">
        <v>1</v>
      </c>
      <c r="Q940" s="9" t="n">
        <v>120</v>
      </c>
      <c r="R940" s="9" t="n">
        <v>530</v>
      </c>
      <c r="S940" s="9" t="n">
        <v>200</v>
      </c>
      <c r="T940" s="9" t="n">
        <v>815</v>
      </c>
      <c r="U940" s="9" t="n">
        <v>0</v>
      </c>
      <c r="V940" s="9" t="n">
        <v>170</v>
      </c>
      <c r="W940" s="10" t="n">
        <v>139</v>
      </c>
      <c r="X940" s="9" t="n">
        <v>18</v>
      </c>
    </row>
    <row r="941">
      <c r="A941" s="67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9" t="n">
        <v>110</v>
      </c>
      <c r="P941" s="9" t="n">
        <v>1</v>
      </c>
      <c r="Q941" s="9" t="n">
        <v>120</v>
      </c>
      <c r="R941" s="9" t="n">
        <v>530</v>
      </c>
      <c r="S941" s="9" t="n">
        <v>300</v>
      </c>
      <c r="T941" s="9" t="n">
        <v>815</v>
      </c>
      <c r="U941" s="9" t="n">
        <v>0</v>
      </c>
      <c r="V941" s="9" t="n">
        <v>170</v>
      </c>
      <c r="W941" s="10" t="n">
        <v>110</v>
      </c>
      <c r="X941" s="9" t="n">
        <v>0</v>
      </c>
    </row>
    <row r="942">
      <c r="A942" s="67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9" t="n">
        <v>110</v>
      </c>
      <c r="P942" s="9" t="n">
        <v>1</v>
      </c>
      <c r="Q942" s="9" t="n">
        <v>120</v>
      </c>
      <c r="R942" s="9" t="n">
        <v>530</v>
      </c>
      <c r="S942" s="9" t="n">
        <v>300</v>
      </c>
      <c r="T942" s="9" t="n">
        <v>815</v>
      </c>
      <c r="U942" s="9" t="n">
        <v>0</v>
      </c>
      <c r="V942" s="9" t="n">
        <v>170</v>
      </c>
      <c r="W942" s="10" t="n">
        <v>104</v>
      </c>
      <c r="X942" s="9" t="n">
        <v>0</v>
      </c>
    </row>
    <row r="943">
      <c r="A943" s="67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9" t="n">
        <v>110</v>
      </c>
      <c r="P943" s="9" t="n">
        <v>1</v>
      </c>
      <c r="Q943" s="9" t="n">
        <v>120</v>
      </c>
      <c r="R943" s="9" t="n">
        <v>530</v>
      </c>
      <c r="S943" s="9" t="n">
        <v>150</v>
      </c>
      <c r="T943" s="9" t="n">
        <v>815</v>
      </c>
      <c r="U943" s="9" t="n">
        <v>0</v>
      </c>
      <c r="V943" s="9" t="n">
        <v>170</v>
      </c>
      <c r="W943" s="10" t="n">
        <v>106</v>
      </c>
      <c r="X943" s="9" t="n">
        <v>18</v>
      </c>
    </row>
    <row r="944">
      <c r="A944" s="67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9" t="n">
        <v>110</v>
      </c>
      <c r="P944" s="9" t="n">
        <v>1</v>
      </c>
      <c r="Q944" s="9" t="n">
        <v>120</v>
      </c>
      <c r="R944" s="9" t="n">
        <v>530</v>
      </c>
      <c r="S944" s="9" t="n">
        <v>150</v>
      </c>
      <c r="T944" s="9" t="n">
        <v>815</v>
      </c>
      <c r="U944" s="9" t="n">
        <v>0</v>
      </c>
      <c r="V944" s="9" t="n">
        <v>170</v>
      </c>
      <c r="W944" s="10" t="n">
        <v>104</v>
      </c>
      <c r="X944" s="9" t="n">
        <v>18</v>
      </c>
    </row>
    <row r="945">
      <c r="A945" s="67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9" t="n">
        <v>110</v>
      </c>
      <c r="P945" s="9" t="n">
        <v>1</v>
      </c>
      <c r="Q945" s="9" t="n">
        <v>120</v>
      </c>
      <c r="R945" s="9" t="n">
        <v>530</v>
      </c>
      <c r="S945" s="9" t="n">
        <v>150</v>
      </c>
      <c r="T945" s="9" t="n">
        <v>815</v>
      </c>
      <c r="U945" s="9" t="n">
        <v>0</v>
      </c>
      <c r="V945" s="9" t="n">
        <v>170</v>
      </c>
      <c r="W945" s="10" t="n">
        <v>102</v>
      </c>
      <c r="X945" s="9" t="n">
        <v>18</v>
      </c>
    </row>
    <row r="946">
      <c r="A946" s="67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9" t="n">
        <v>110</v>
      </c>
      <c r="P946" s="9" t="n">
        <v>1</v>
      </c>
      <c r="Q946" s="9" t="n">
        <v>120</v>
      </c>
      <c r="R946" s="9" t="n">
        <v>530</v>
      </c>
      <c r="S946" s="9" t="n">
        <v>150</v>
      </c>
      <c r="T946" s="9" t="n">
        <v>815</v>
      </c>
      <c r="U946" s="9" t="n">
        <v>1072</v>
      </c>
      <c r="V946" s="9" t="n">
        <v>170</v>
      </c>
      <c r="W946" s="10" t="n">
        <v>102</v>
      </c>
      <c r="X946" s="9" t="n">
        <v>18</v>
      </c>
    </row>
    <row r="947">
      <c r="A947" s="67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9" t="n">
        <v>110</v>
      </c>
      <c r="P947" s="9" t="n">
        <v>1</v>
      </c>
      <c r="Q947" s="9" t="n">
        <v>120</v>
      </c>
      <c r="R947" s="9" t="n">
        <v>530</v>
      </c>
      <c r="S947" s="9" t="n">
        <v>150</v>
      </c>
      <c r="T947" s="9" t="n">
        <v>815</v>
      </c>
      <c r="U947" s="9" t="n">
        <v>1072</v>
      </c>
      <c r="V947" s="9" t="n">
        <v>170</v>
      </c>
      <c r="W947" s="10" t="n">
        <v>111</v>
      </c>
      <c r="X947" s="9" t="n">
        <v>18</v>
      </c>
    </row>
    <row r="948">
      <c r="A948" s="67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9" t="n">
        <v>110</v>
      </c>
      <c r="P948" s="9" t="n">
        <v>1</v>
      </c>
      <c r="Q948" s="9" t="n">
        <v>120</v>
      </c>
      <c r="R948" s="9" t="n">
        <v>530</v>
      </c>
      <c r="S948" s="9" t="n">
        <v>300</v>
      </c>
      <c r="T948" s="9" t="n">
        <v>815</v>
      </c>
      <c r="U948" s="9" t="n">
        <v>1072</v>
      </c>
      <c r="V948" s="9" t="n">
        <v>170</v>
      </c>
      <c r="W948" s="10" t="n">
        <v>119</v>
      </c>
      <c r="X948" s="9" t="n">
        <v>0</v>
      </c>
    </row>
    <row r="949">
      <c r="A949" s="67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9" t="n">
        <v>110</v>
      </c>
      <c r="P949" s="9" t="n">
        <v>1</v>
      </c>
      <c r="Q949" s="9" t="n">
        <v>120</v>
      </c>
      <c r="R949" s="9" t="n">
        <v>530</v>
      </c>
      <c r="S949" s="9" t="n">
        <v>300</v>
      </c>
      <c r="T949" s="9" t="n">
        <v>815</v>
      </c>
      <c r="U949" s="9" t="n">
        <v>1072</v>
      </c>
      <c r="V949" s="9" t="n">
        <v>170</v>
      </c>
      <c r="W949" s="10" t="n">
        <v>104</v>
      </c>
      <c r="X949" s="9" t="n">
        <v>0</v>
      </c>
    </row>
    <row r="950">
      <c r="A950" s="67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9" t="n">
        <v>110</v>
      </c>
      <c r="P950" s="9" t="n">
        <v>1</v>
      </c>
      <c r="Q950" s="9" t="n">
        <v>120</v>
      </c>
      <c r="R950" s="9" t="n">
        <v>530</v>
      </c>
      <c r="S950" s="9" t="n">
        <v>150</v>
      </c>
      <c r="T950" s="9" t="n">
        <v>815</v>
      </c>
      <c r="U950" s="9" t="n">
        <v>0</v>
      </c>
      <c r="V950" s="9" t="n">
        <v>170</v>
      </c>
      <c r="W950" s="10" t="n">
        <v>144</v>
      </c>
      <c r="X950" s="9" t="n">
        <v>18</v>
      </c>
    </row>
    <row r="951">
      <c r="A951" s="67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9" t="n">
        <v>110</v>
      </c>
      <c r="P951" s="9" t="n">
        <v>1</v>
      </c>
      <c r="Q951" s="9" t="n">
        <v>120</v>
      </c>
      <c r="R951" s="9" t="n">
        <v>530</v>
      </c>
      <c r="S951" s="9" t="n">
        <v>150</v>
      </c>
      <c r="T951" s="9" t="n">
        <v>815</v>
      </c>
      <c r="U951" s="9" t="n">
        <v>0</v>
      </c>
      <c r="V951" s="9" t="n">
        <v>170</v>
      </c>
      <c r="W951" s="10" t="n">
        <v>138</v>
      </c>
      <c r="X951" s="9" t="n">
        <v>20</v>
      </c>
    </row>
    <row r="952">
      <c r="A952" s="67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7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7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7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7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7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7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7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7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7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7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7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7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7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7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7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7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7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7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7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7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7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7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7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7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7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7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7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7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7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7" t="n">
        <v>46143</v>
      </c>
      <c r="B982" s="55" t="inlineStr">
        <is>
          <t>NX8</t>
        </is>
      </c>
      <c r="C982" s="63" t="n">
        <v>908.0573538461539</v>
      </c>
      <c r="D982" s="63" t="n">
        <v>721.1043692307693</v>
      </c>
      <c r="E982" s="63" t="n">
        <v>640.9816615384617</v>
      </c>
      <c r="F982" s="63" t="n">
        <v>1415.501169230769</v>
      </c>
      <c r="G982" s="63" t="n">
        <v>841.2884307692308</v>
      </c>
      <c r="H982" s="63" t="n">
        <v>827.9346461538463</v>
      </c>
      <c r="I982" s="63" t="n">
        <v>747.8119384615385</v>
      </c>
      <c r="J982" s="63" t="n">
        <v>654.3354461538462</v>
      </c>
      <c r="K982" s="63" t="n">
        <v>1095.010338461539</v>
      </c>
      <c r="L982" s="63" t="n">
        <v>827.9346461538463</v>
      </c>
      <c r="M982" s="56">
        <f>N982-SUM(C982:L982)</f>
        <v/>
      </c>
      <c r="N982" s="57" t="n">
        <v>10716</v>
      </c>
      <c r="O982" s="62" t="n">
        <v>328</v>
      </c>
      <c r="P982" s="62" t="n">
        <v>6</v>
      </c>
      <c r="Q982" s="62" t="n">
        <v>686</v>
      </c>
      <c r="R982" s="62" t="n">
        <v>787</v>
      </c>
      <c r="S982" s="62" t="n">
        <v>820</v>
      </c>
      <c r="T982" s="62" t="n">
        <v>1500</v>
      </c>
      <c r="U982" s="62" t="n">
        <v>5174</v>
      </c>
      <c r="V982" s="62" t="n">
        <v>415</v>
      </c>
      <c r="W982" s="62" t="n">
        <v>1000</v>
      </c>
      <c r="X982" s="62" t="n">
        <v>0</v>
      </c>
    </row>
    <row r="983">
      <c r="A983" s="67" t="n">
        <v>46144</v>
      </c>
      <c r="B983" s="55" t="inlineStr">
        <is>
          <t>NX8</t>
        </is>
      </c>
      <c r="C983" s="63" t="n">
        <v>903.312</v>
      </c>
      <c r="D983" s="63" t="n">
        <v>717.336</v>
      </c>
      <c r="E983" s="63" t="n">
        <v>637.6320000000001</v>
      </c>
      <c r="F983" s="63" t="n">
        <v>1408.104</v>
      </c>
      <c r="G983" s="63" t="n">
        <v>836.8919999999999</v>
      </c>
      <c r="H983" s="63" t="n">
        <v>823.6080000000001</v>
      </c>
      <c r="I983" s="63" t="n">
        <v>743.904</v>
      </c>
      <c r="J983" s="63" t="n">
        <v>650.9160000000001</v>
      </c>
      <c r="K983" s="63" t="n">
        <v>1089.288</v>
      </c>
      <c r="L983" s="63" t="n">
        <v>823.6080000000001</v>
      </c>
      <c r="M983" s="56">
        <f>N983-SUM(C983:L983)</f>
        <v/>
      </c>
      <c r="N983" s="57" t="n">
        <v>10660</v>
      </c>
      <c r="O983" s="62" t="n">
        <v>328</v>
      </c>
      <c r="P983" s="62" t="n">
        <v>6</v>
      </c>
      <c r="Q983" s="62" t="n">
        <v>689</v>
      </c>
      <c r="R983" s="62" t="n">
        <v>787</v>
      </c>
      <c r="S983" s="62" t="n">
        <v>800</v>
      </c>
      <c r="T983" s="62" t="n">
        <v>1500</v>
      </c>
      <c r="U983" s="62" t="n">
        <v>5174</v>
      </c>
      <c r="V983" s="62" t="n">
        <v>415</v>
      </c>
      <c r="W983" s="62" t="n">
        <v>961</v>
      </c>
      <c r="X983" s="62" t="n">
        <v>0</v>
      </c>
    </row>
    <row r="984">
      <c r="A984" s="67" t="n">
        <v>46145</v>
      </c>
      <c r="B984" s="55" t="inlineStr">
        <is>
          <t>NX8</t>
        </is>
      </c>
      <c r="C984" s="63" t="n">
        <v>901.6172307692309</v>
      </c>
      <c r="D984" s="63" t="n">
        <v>715.9901538461539</v>
      </c>
      <c r="E984" s="63" t="n">
        <v>636.4356923076924</v>
      </c>
      <c r="F984" s="63" t="n">
        <v>1405.462153846154</v>
      </c>
      <c r="G984" s="63" t="n">
        <v>835.3218461538462</v>
      </c>
      <c r="H984" s="63" t="n">
        <v>822.0627692307694</v>
      </c>
      <c r="I984" s="63" t="n">
        <v>742.5083076923078</v>
      </c>
      <c r="J984" s="63" t="n">
        <v>649.6947692307693</v>
      </c>
      <c r="K984" s="63" t="n">
        <v>1087.244307692308</v>
      </c>
      <c r="L984" s="63" t="n">
        <v>822.0627692307694</v>
      </c>
      <c r="M984" s="56">
        <f>N984-SUM(C984:L984)</f>
        <v/>
      </c>
      <c r="N984" s="57" t="n">
        <v>10640</v>
      </c>
      <c r="O984" s="62" t="n">
        <v>328</v>
      </c>
      <c r="P984" s="62" t="n">
        <v>6</v>
      </c>
      <c r="Q984" s="62" t="n">
        <v>689</v>
      </c>
      <c r="R984" s="62" t="n">
        <v>787</v>
      </c>
      <c r="S984" s="62" t="n">
        <v>800</v>
      </c>
      <c r="T984" s="62" t="n">
        <v>1500</v>
      </c>
      <c r="U984" s="62" t="n">
        <v>5141</v>
      </c>
      <c r="V984" s="62" t="n">
        <v>415</v>
      </c>
      <c r="W984" s="62" t="n">
        <v>974</v>
      </c>
      <c r="X984" s="62" t="n">
        <v>0</v>
      </c>
    </row>
    <row r="985">
      <c r="A985" s="67" t="n">
        <v>46146</v>
      </c>
      <c r="B985" s="55" t="inlineStr">
        <is>
          <t>NX8</t>
        </is>
      </c>
      <c r="C985" s="63" t="n">
        <v>831.0300923076923</v>
      </c>
      <c r="D985" s="63" t="n">
        <v>659.9356615384615</v>
      </c>
      <c r="E985" s="63" t="n">
        <v>586.609476923077</v>
      </c>
      <c r="F985" s="63" t="n">
        <v>1295.429261538461</v>
      </c>
      <c r="G985" s="63" t="n">
        <v>769.9249384615384</v>
      </c>
      <c r="H985" s="63" t="n">
        <v>757.7039076923077</v>
      </c>
      <c r="I985" s="63" t="n">
        <v>684.3777230769231</v>
      </c>
      <c r="J985" s="63" t="n">
        <v>598.8305076923077</v>
      </c>
      <c r="K985" s="63" t="n">
        <v>1002.124523076923</v>
      </c>
      <c r="L985" s="63" t="n">
        <v>757.7039076923077</v>
      </c>
      <c r="M985" s="56">
        <f>N985-SUM(C985:L985)</f>
        <v/>
      </c>
      <c r="N985" s="57" t="n">
        <v>9807</v>
      </c>
      <c r="O985" s="62" t="n">
        <v>328</v>
      </c>
      <c r="P985" s="62" t="n">
        <v>6</v>
      </c>
      <c r="Q985" s="62" t="n">
        <v>689</v>
      </c>
      <c r="R985" s="62" t="n">
        <v>787</v>
      </c>
      <c r="S985" s="62" t="n">
        <v>800</v>
      </c>
      <c r="T985" s="62" t="n">
        <v>1500</v>
      </c>
      <c r="U985" s="62" t="n">
        <v>4330</v>
      </c>
      <c r="V985" s="62" t="n">
        <v>415</v>
      </c>
      <c r="W985" s="62" t="n">
        <v>952</v>
      </c>
      <c r="X985" s="62" t="n">
        <v>0</v>
      </c>
    </row>
    <row r="986">
      <c r="A986" s="67" t="n">
        <v>46147</v>
      </c>
      <c r="B986" s="55" t="inlineStr">
        <is>
          <t>NX8</t>
        </is>
      </c>
      <c r="C986" s="63" t="n">
        <v>730.0218461538461</v>
      </c>
      <c r="D986" s="63" t="n">
        <v>579.7232307692308</v>
      </c>
      <c r="E986" s="63" t="n">
        <v>515.3095384615385</v>
      </c>
      <c r="F986" s="63" t="n">
        <v>1137.975230769231</v>
      </c>
      <c r="G986" s="63" t="n">
        <v>676.3437692307692</v>
      </c>
      <c r="H986" s="63" t="n">
        <v>665.6081538461539</v>
      </c>
      <c r="I986" s="63" t="n">
        <v>601.1944615384616</v>
      </c>
      <c r="J986" s="63" t="n">
        <v>526.0451538461539</v>
      </c>
      <c r="K986" s="63" t="n">
        <v>880.3204615384616</v>
      </c>
      <c r="L986" s="63" t="n">
        <v>665.6081538461539</v>
      </c>
      <c r="M986" s="56">
        <f>N986-SUM(C986:L986)</f>
        <v/>
      </c>
      <c r="N986" s="57" t="n">
        <v>8615</v>
      </c>
      <c r="O986" s="62" t="n">
        <v>328</v>
      </c>
      <c r="P986" s="62" t="n">
        <v>6</v>
      </c>
      <c r="Q986" s="62" t="n">
        <v>689</v>
      </c>
      <c r="R986" s="62" t="n">
        <v>787</v>
      </c>
      <c r="S986" s="62" t="n">
        <v>800</v>
      </c>
      <c r="T986" s="62" t="n">
        <v>1500</v>
      </c>
      <c r="U986" s="62" t="n">
        <v>3201</v>
      </c>
      <c r="V986" s="62" t="n">
        <v>416</v>
      </c>
      <c r="W986" s="62" t="n">
        <v>888</v>
      </c>
      <c r="X986" s="62" t="n">
        <v>0</v>
      </c>
    </row>
    <row r="987">
      <c r="A987" s="67" t="n">
        <v>46148</v>
      </c>
      <c r="B987" s="55" t="inlineStr">
        <is>
          <t>NX8</t>
        </is>
      </c>
      <c r="C987" s="63" t="n">
        <v>478.6028307692308</v>
      </c>
      <c r="D987" s="63" t="n">
        <v>380.0669538461539</v>
      </c>
      <c r="E987" s="63" t="n">
        <v>337.8372923076923</v>
      </c>
      <c r="F987" s="63" t="n">
        <v>746.0573538461538</v>
      </c>
      <c r="G987" s="63" t="n">
        <v>443.4114461538462</v>
      </c>
      <c r="H987" s="63" t="n">
        <v>436.3731692307692</v>
      </c>
      <c r="I987" s="63" t="n">
        <v>394.1435076923077</v>
      </c>
      <c r="J987" s="63" t="n">
        <v>344.8755692307693</v>
      </c>
      <c r="K987" s="63" t="n">
        <v>577.1387076923077</v>
      </c>
      <c r="L987" s="63" t="n">
        <v>436.3731692307692</v>
      </c>
      <c r="M987" s="56">
        <f>N987-SUM(C987:L987)</f>
        <v/>
      </c>
      <c r="N987" s="57" t="n">
        <v>5648</v>
      </c>
      <c r="O987" s="62" t="n">
        <v>173</v>
      </c>
      <c r="P987" s="62" t="n">
        <v>4</v>
      </c>
      <c r="Q987" s="62" t="n">
        <v>460</v>
      </c>
      <c r="R987" s="62" t="n">
        <v>787</v>
      </c>
      <c r="S987" s="62" t="n">
        <v>500</v>
      </c>
      <c r="T987" s="62" t="n">
        <v>1200</v>
      </c>
      <c r="U987" s="62" t="n">
        <v>1049</v>
      </c>
      <c r="V987" s="62" t="n">
        <v>416</v>
      </c>
      <c r="W987" s="62" t="n">
        <v>841</v>
      </c>
      <c r="X987" s="62" t="n">
        <v>218</v>
      </c>
    </row>
    <row r="988">
      <c r="A988" s="67" t="n">
        <v>46149</v>
      </c>
      <c r="B988" s="55" t="inlineStr">
        <is>
          <t>NX8</t>
        </is>
      </c>
      <c r="C988" s="63" t="n">
        <v>465.6378461538462</v>
      </c>
      <c r="D988" s="63" t="n">
        <v>369.7712307692308</v>
      </c>
      <c r="E988" s="63" t="n">
        <v>328.6855384615386</v>
      </c>
      <c r="F988" s="63" t="n">
        <v>725.8472307692308</v>
      </c>
      <c r="G988" s="63" t="n">
        <v>431.3997692307693</v>
      </c>
      <c r="H988" s="63" t="n">
        <v>424.5521538461539</v>
      </c>
      <c r="I988" s="63" t="n">
        <v>383.4664615384616</v>
      </c>
      <c r="J988" s="63" t="n">
        <v>335.5331538461539</v>
      </c>
      <c r="K988" s="63" t="n">
        <v>561.5044615384616</v>
      </c>
      <c r="L988" s="63" t="n">
        <v>424.5521538461539</v>
      </c>
      <c r="M988" s="56">
        <f>N988-SUM(C988:L988)</f>
        <v/>
      </c>
      <c r="N988" s="57" t="n">
        <v>5495</v>
      </c>
      <c r="O988" s="62" t="n">
        <v>170</v>
      </c>
      <c r="P988" s="62" t="n">
        <v>4</v>
      </c>
      <c r="Q988" s="62" t="n">
        <v>460</v>
      </c>
      <c r="R988" s="62" t="n">
        <v>787</v>
      </c>
      <c r="S988" s="62" t="n">
        <v>500</v>
      </c>
      <c r="T988" s="62" t="n">
        <v>1200</v>
      </c>
      <c r="U988" s="62" t="n">
        <v>923</v>
      </c>
      <c r="V988" s="62" t="n">
        <v>416</v>
      </c>
      <c r="W988" s="62" t="n">
        <v>817</v>
      </c>
      <c r="X988" s="62" t="n">
        <v>218</v>
      </c>
    </row>
    <row r="989">
      <c r="A989" s="67" t="n">
        <v>46150</v>
      </c>
      <c r="B989" s="55" t="inlineStr">
        <is>
          <t>NX8</t>
        </is>
      </c>
      <c r="C989" s="63" t="n">
        <v>452.3339076923077</v>
      </c>
      <c r="D989" s="63" t="n">
        <v>359.2063384615385</v>
      </c>
      <c r="E989" s="63" t="n">
        <v>319.2945230769232</v>
      </c>
      <c r="F989" s="63" t="n">
        <v>705.1087384615386</v>
      </c>
      <c r="G989" s="63" t="n">
        <v>419.0740615384616</v>
      </c>
      <c r="H989" s="63" t="n">
        <v>412.4220923076924</v>
      </c>
      <c r="I989" s="63" t="n">
        <v>372.510276923077</v>
      </c>
      <c r="J989" s="63" t="n">
        <v>325.9464923076923</v>
      </c>
      <c r="K989" s="63" t="n">
        <v>545.4614769230769</v>
      </c>
      <c r="L989" s="63" t="n">
        <v>412.4220923076924</v>
      </c>
      <c r="M989" s="56">
        <f>N989-SUM(C989:L989)</f>
        <v/>
      </c>
      <c r="N989" s="57" t="n">
        <v>5338</v>
      </c>
      <c r="O989" s="62" t="n">
        <v>170</v>
      </c>
      <c r="P989" s="62" t="n">
        <v>3</v>
      </c>
      <c r="Q989" s="62" t="n">
        <v>460</v>
      </c>
      <c r="R989" s="62" t="n">
        <v>787</v>
      </c>
      <c r="S989" s="62" t="n">
        <v>500</v>
      </c>
      <c r="T989" s="62" t="n">
        <v>1200</v>
      </c>
      <c r="U989" s="62" t="n">
        <v>783</v>
      </c>
      <c r="V989" s="62" t="n">
        <v>416</v>
      </c>
      <c r="W989" s="62" t="n">
        <v>801</v>
      </c>
      <c r="X989" s="62" t="n">
        <v>218</v>
      </c>
    </row>
    <row r="990">
      <c r="A990" s="67" t="n">
        <v>46151</v>
      </c>
      <c r="B990" s="55" t="inlineStr">
        <is>
          <t>NX8</t>
        </is>
      </c>
      <c r="C990" s="63" t="n">
        <v>497.0758153846153</v>
      </c>
      <c r="D990" s="63" t="n">
        <v>394.7366769230769</v>
      </c>
      <c r="E990" s="63" t="n">
        <v>350.8770461538462</v>
      </c>
      <c r="F990" s="63" t="n">
        <v>774.8534769230769</v>
      </c>
      <c r="G990" s="63" t="n">
        <v>460.5261230769231</v>
      </c>
      <c r="H990" s="63" t="n">
        <v>453.2161846153846</v>
      </c>
      <c r="I990" s="63" t="n">
        <v>409.3565538461538</v>
      </c>
      <c r="J990" s="63" t="n">
        <v>358.1869846153846</v>
      </c>
      <c r="K990" s="63" t="n">
        <v>599.4149538461538</v>
      </c>
      <c r="L990" s="63" t="n">
        <v>453.2161846153846</v>
      </c>
      <c r="M990" s="56">
        <f>N990-SUM(C990:L990)</f>
        <v/>
      </c>
      <c r="N990" s="57" t="n">
        <v>5866</v>
      </c>
      <c r="O990" s="62" t="n">
        <v>170</v>
      </c>
      <c r="P990" s="62" t="n">
        <v>3</v>
      </c>
      <c r="Q990" s="62" t="n">
        <v>460</v>
      </c>
      <c r="R990" s="62" t="n">
        <v>787</v>
      </c>
      <c r="S990" s="62" t="n">
        <v>500</v>
      </c>
      <c r="T990" s="62" t="n">
        <v>1200</v>
      </c>
      <c r="U990" s="62" t="n">
        <v>1260</v>
      </c>
      <c r="V990" s="62" t="n">
        <v>416</v>
      </c>
      <c r="W990" s="62" t="n">
        <v>852</v>
      </c>
      <c r="X990" s="62" t="n">
        <v>218</v>
      </c>
    </row>
    <row r="991">
      <c r="A991" s="67" t="n">
        <v>46152</v>
      </c>
      <c r="B991" s="55" t="inlineStr">
        <is>
          <t>NX8</t>
        </is>
      </c>
      <c r="C991" s="63" t="n">
        <v>510.5492307692307</v>
      </c>
      <c r="D991" s="63" t="n">
        <v>405.4361538461538</v>
      </c>
      <c r="E991" s="63" t="n">
        <v>360.3876923076924</v>
      </c>
      <c r="F991" s="63" t="n">
        <v>795.8561538461538</v>
      </c>
      <c r="G991" s="63" t="n">
        <v>473.0088461538462</v>
      </c>
      <c r="H991" s="63" t="n">
        <v>465.5007692307693</v>
      </c>
      <c r="I991" s="63" t="n">
        <v>420.4523076923077</v>
      </c>
      <c r="J991" s="63" t="n">
        <v>367.8957692307692</v>
      </c>
      <c r="K991" s="63" t="n">
        <v>615.6623076923076</v>
      </c>
      <c r="L991" s="63" t="n">
        <v>465.5007692307693</v>
      </c>
      <c r="M991" s="56">
        <f>N991-SUM(C991:L991)</f>
        <v/>
      </c>
      <c r="N991" s="57" t="n">
        <v>6025</v>
      </c>
      <c r="O991" s="62" t="n">
        <v>250</v>
      </c>
      <c r="P991" s="62" t="n">
        <v>4</v>
      </c>
      <c r="Q991" s="62" t="n">
        <v>689</v>
      </c>
      <c r="R991" s="62" t="n">
        <v>787</v>
      </c>
      <c r="S991" s="62" t="n">
        <v>565</v>
      </c>
      <c r="T991" s="62" t="n">
        <v>1200</v>
      </c>
      <c r="U991" s="62" t="n">
        <v>1260</v>
      </c>
      <c r="V991" s="62" t="n">
        <v>416</v>
      </c>
      <c r="W991" s="62" t="n">
        <v>854</v>
      </c>
      <c r="X991" s="62" t="n">
        <v>0</v>
      </c>
    </row>
    <row r="992">
      <c r="A992" s="67" t="n">
        <v>46153</v>
      </c>
      <c r="B992" s="55" t="inlineStr">
        <is>
          <t>NX8</t>
        </is>
      </c>
      <c r="C992" s="63" t="n">
        <v>431.3187692307692</v>
      </c>
      <c r="D992" s="63" t="n">
        <v>342.5178461538462</v>
      </c>
      <c r="E992" s="63" t="n">
        <v>304.4603076923078</v>
      </c>
      <c r="F992" s="63" t="n">
        <v>672.3498461538462</v>
      </c>
      <c r="G992" s="63" t="n">
        <v>399.6041538461538</v>
      </c>
      <c r="H992" s="63" t="n">
        <v>393.2612307692308</v>
      </c>
      <c r="I992" s="63" t="n">
        <v>355.2036923076923</v>
      </c>
      <c r="J992" s="63" t="n">
        <v>310.8032307692308</v>
      </c>
      <c r="K992" s="63" t="n">
        <v>520.1196923076924</v>
      </c>
      <c r="L992" s="63" t="n">
        <v>393.2612307692308</v>
      </c>
      <c r="M992" s="56">
        <f>N992-SUM(C992:L992)</f>
        <v/>
      </c>
      <c r="N992" s="57" t="n">
        <v>5090</v>
      </c>
      <c r="O992" s="62" t="n">
        <v>170</v>
      </c>
      <c r="P992" s="62" t="n">
        <v>3</v>
      </c>
      <c r="Q992" s="62" t="n">
        <v>460</v>
      </c>
      <c r="R992" s="62" t="n">
        <v>787</v>
      </c>
      <c r="S992" s="62" t="n">
        <v>500</v>
      </c>
      <c r="T992" s="62" t="n">
        <v>1200</v>
      </c>
      <c r="U992" s="62" t="n">
        <v>480</v>
      </c>
      <c r="V992" s="62" t="n">
        <v>416</v>
      </c>
      <c r="W992" s="62" t="n">
        <v>855</v>
      </c>
      <c r="X992" s="62" t="n">
        <v>219</v>
      </c>
    </row>
    <row r="993">
      <c r="A993" s="67" t="n">
        <v>46154</v>
      </c>
      <c r="B993" s="55" t="inlineStr">
        <is>
          <t>NX8</t>
        </is>
      </c>
      <c r="C993" s="63" t="n">
        <v>418.0995692307692</v>
      </c>
      <c r="D993" s="63" t="n">
        <v>332.0202461538462</v>
      </c>
      <c r="E993" s="63" t="n">
        <v>295.1291076923077</v>
      </c>
      <c r="F993" s="63" t="n">
        <v>651.7434461538462</v>
      </c>
      <c r="G993" s="63" t="n">
        <v>387.3569538461539</v>
      </c>
      <c r="H993" s="63" t="n">
        <v>381.2084307692308</v>
      </c>
      <c r="I993" s="63" t="n">
        <v>344.3172923076924</v>
      </c>
      <c r="J993" s="63" t="n">
        <v>301.2776307692308</v>
      </c>
      <c r="K993" s="63" t="n">
        <v>504.1788923076923</v>
      </c>
      <c r="L993" s="63" t="n">
        <v>381.2084307692308</v>
      </c>
      <c r="M993" s="56">
        <f>N993-SUM(C993:L993)</f>
        <v/>
      </c>
      <c r="N993" s="57" t="n">
        <v>4934</v>
      </c>
      <c r="O993" s="62" t="n">
        <v>170</v>
      </c>
      <c r="P993" s="62" t="n">
        <v>3</v>
      </c>
      <c r="Q993" s="62" t="n">
        <v>460</v>
      </c>
      <c r="R993" s="62" t="n">
        <v>787</v>
      </c>
      <c r="S993" s="62" t="n">
        <v>500</v>
      </c>
      <c r="T993" s="62" t="n">
        <v>1200</v>
      </c>
      <c r="U993" s="62" t="n">
        <v>361</v>
      </c>
      <c r="V993" s="62" t="n">
        <v>416</v>
      </c>
      <c r="W993" s="62" t="n">
        <v>818</v>
      </c>
      <c r="X993" s="62" t="n">
        <v>219</v>
      </c>
    </row>
    <row r="994">
      <c r="A994" s="67" t="n">
        <v>46155</v>
      </c>
      <c r="B994" s="55" t="inlineStr">
        <is>
          <t>NX8</t>
        </is>
      </c>
      <c r="C994" s="63" t="n">
        <v>411.4052307692307</v>
      </c>
      <c r="D994" s="63" t="n">
        <v>326.7041538461539</v>
      </c>
      <c r="E994" s="63" t="n">
        <v>290.4036923076923</v>
      </c>
      <c r="F994" s="63" t="n">
        <v>641.3081538461538</v>
      </c>
      <c r="G994" s="63" t="n">
        <v>381.1548461538462</v>
      </c>
      <c r="H994" s="63" t="n">
        <v>375.1047692307693</v>
      </c>
      <c r="I994" s="63" t="n">
        <v>338.8043076923077</v>
      </c>
      <c r="J994" s="63" t="n">
        <v>296.4537692307692</v>
      </c>
      <c r="K994" s="63" t="n">
        <v>496.1063076923077</v>
      </c>
      <c r="L994" s="63" t="n">
        <v>375.1047692307693</v>
      </c>
      <c r="M994" s="56">
        <f>N994-SUM(C994:L994)</f>
        <v/>
      </c>
      <c r="N994" s="57" t="n">
        <v>4855</v>
      </c>
      <c r="O994" s="62" t="n">
        <v>170</v>
      </c>
      <c r="P994" s="62" t="n">
        <v>3</v>
      </c>
      <c r="Q994" s="62" t="n">
        <v>460</v>
      </c>
      <c r="R994" s="62" t="n">
        <v>787</v>
      </c>
      <c r="S994" s="62" t="n">
        <v>500</v>
      </c>
      <c r="T994" s="62" t="n">
        <v>1200</v>
      </c>
      <c r="U994" s="62" t="n">
        <v>282</v>
      </c>
      <c r="V994" s="62" t="n">
        <v>415</v>
      </c>
      <c r="W994" s="62" t="n">
        <v>819</v>
      </c>
      <c r="X994" s="62" t="n">
        <v>219</v>
      </c>
    </row>
    <row r="995">
      <c r="A995" s="67" t="n">
        <v>46156</v>
      </c>
      <c r="B995" s="55" t="inlineStr">
        <is>
          <t>NX8</t>
        </is>
      </c>
      <c r="C995" s="63" t="n">
        <v>425.8955076923077</v>
      </c>
      <c r="D995" s="63" t="n">
        <v>338.2111384615385</v>
      </c>
      <c r="E995" s="63" t="n">
        <v>300.6321230769231</v>
      </c>
      <c r="F995" s="63" t="n">
        <v>663.8959384615384</v>
      </c>
      <c r="G995" s="63" t="n">
        <v>394.5796615384616</v>
      </c>
      <c r="H995" s="63" t="n">
        <v>388.3164923076923</v>
      </c>
      <c r="I995" s="63" t="n">
        <v>350.7374769230769</v>
      </c>
      <c r="J995" s="63" t="n">
        <v>306.8952923076923</v>
      </c>
      <c r="K995" s="63" t="n">
        <v>513.5798769230769</v>
      </c>
      <c r="L995" s="63" t="n">
        <v>388.3164923076923</v>
      </c>
      <c r="M995" s="56">
        <f>N995-SUM(C995:L995)</f>
        <v/>
      </c>
      <c r="N995" s="57" t="n">
        <v>5026</v>
      </c>
      <c r="O995" s="62" t="n">
        <v>170</v>
      </c>
      <c r="P995" s="62" t="n">
        <v>3</v>
      </c>
      <c r="Q995" s="62" t="n">
        <v>460</v>
      </c>
      <c r="R995" s="62" t="n">
        <v>787</v>
      </c>
      <c r="S995" s="62" t="n">
        <v>500</v>
      </c>
      <c r="T995" s="62" t="n">
        <v>1200</v>
      </c>
      <c r="U995" s="62" t="n">
        <v>426</v>
      </c>
      <c r="V995" s="62" t="n">
        <v>415</v>
      </c>
      <c r="W995" s="62" t="n">
        <v>846</v>
      </c>
      <c r="X995" s="62" t="n">
        <v>219</v>
      </c>
    </row>
    <row r="996">
      <c r="A996" s="67" t="n">
        <v>46157</v>
      </c>
      <c r="B996" s="55" t="inlineStr">
        <is>
          <t>NX8</t>
        </is>
      </c>
      <c r="C996" s="63" t="n">
        <v>428.0987076923077</v>
      </c>
      <c r="D996" s="63" t="n">
        <v>339.9607384615385</v>
      </c>
      <c r="E996" s="63" t="n">
        <v>302.1873230769231</v>
      </c>
      <c r="F996" s="63" t="n">
        <v>667.3303384615384</v>
      </c>
      <c r="G996" s="63" t="n">
        <v>396.6208615384616</v>
      </c>
      <c r="H996" s="63" t="n">
        <v>390.3252923076923</v>
      </c>
      <c r="I996" s="63" t="n">
        <v>352.5518769230769</v>
      </c>
      <c r="J996" s="63" t="n">
        <v>308.4828923076923</v>
      </c>
      <c r="K996" s="63" t="n">
        <v>516.236676923077</v>
      </c>
      <c r="L996" s="63" t="n">
        <v>390.3252923076923</v>
      </c>
      <c r="M996" s="56">
        <f>N996-SUM(C996:L996)</f>
        <v/>
      </c>
      <c r="N996" s="57" t="n">
        <v>5052</v>
      </c>
      <c r="O996" s="62" t="n">
        <v>170</v>
      </c>
      <c r="P996" s="62" t="n">
        <v>3</v>
      </c>
      <c r="Q996" s="62" t="n">
        <v>460</v>
      </c>
      <c r="R996" s="62" t="n">
        <v>787</v>
      </c>
      <c r="S996" s="62" t="n">
        <v>500</v>
      </c>
      <c r="T996" s="62" t="n">
        <v>1200</v>
      </c>
      <c r="U996" s="62" t="n">
        <v>432</v>
      </c>
      <c r="V996" s="62" t="n">
        <v>416</v>
      </c>
      <c r="W996" s="62" t="n">
        <v>865</v>
      </c>
      <c r="X996" s="62" t="n">
        <v>219</v>
      </c>
    </row>
    <row r="997">
      <c r="A997" s="67" t="n">
        <v>46158</v>
      </c>
      <c r="B997" s="55" t="inlineStr">
        <is>
          <t>NX8</t>
        </is>
      </c>
      <c r="C997" s="63" t="n">
        <v>465.1294153846154</v>
      </c>
      <c r="D997" s="63" t="n">
        <v>369.3674769230769</v>
      </c>
      <c r="E997" s="63" t="n">
        <v>328.3266461538462</v>
      </c>
      <c r="F997" s="63" t="n">
        <v>725.0546769230768</v>
      </c>
      <c r="G997" s="63" t="n">
        <v>430.9287230769231</v>
      </c>
      <c r="H997" s="63" t="n">
        <v>424.0885846153847</v>
      </c>
      <c r="I997" s="63" t="n">
        <v>383.0477538461539</v>
      </c>
      <c r="J997" s="63" t="n">
        <v>335.1667846153846</v>
      </c>
      <c r="K997" s="63" t="n">
        <v>560.8913538461538</v>
      </c>
      <c r="L997" s="63" t="n">
        <v>424.0885846153847</v>
      </c>
      <c r="M997" s="56">
        <f>N997-SUM(C997:L997)</f>
        <v/>
      </c>
      <c r="N997" s="57" t="n">
        <v>5489</v>
      </c>
      <c r="O997" s="62" t="n">
        <v>250</v>
      </c>
      <c r="P997" s="62" t="n">
        <v>4</v>
      </c>
      <c r="Q997" s="62" t="n">
        <v>689</v>
      </c>
      <c r="R997" s="62" t="n">
        <v>787</v>
      </c>
      <c r="S997" s="62" t="n">
        <v>565</v>
      </c>
      <c r="T997" s="62" t="n">
        <v>1200</v>
      </c>
      <c r="U997" s="62" t="n">
        <v>616</v>
      </c>
      <c r="V997" s="62" t="n">
        <v>416</v>
      </c>
      <c r="W997" s="62" t="n">
        <v>962</v>
      </c>
      <c r="X997" s="62" t="n">
        <v>0</v>
      </c>
    </row>
    <row r="998">
      <c r="A998" s="67" t="n">
        <v>46159</v>
      </c>
      <c r="B998" s="55" t="inlineStr">
        <is>
          <t>NX8</t>
        </is>
      </c>
      <c r="C998" s="63" t="n">
        <v>465.3836307692308</v>
      </c>
      <c r="D998" s="63" t="n">
        <v>369.5693538461539</v>
      </c>
      <c r="E998" s="63" t="n">
        <v>328.5060923076924</v>
      </c>
      <c r="F998" s="63" t="n">
        <v>725.4509538461539</v>
      </c>
      <c r="G998" s="63" t="n">
        <v>431.1642461538462</v>
      </c>
      <c r="H998" s="63" t="n">
        <v>424.3203692307693</v>
      </c>
      <c r="I998" s="63" t="n">
        <v>383.2571076923077</v>
      </c>
      <c r="J998" s="63" t="n">
        <v>335.3499692307693</v>
      </c>
      <c r="K998" s="63" t="n">
        <v>561.1979076923077</v>
      </c>
      <c r="L998" s="63" t="n">
        <v>424.3203692307693</v>
      </c>
      <c r="M998" s="56">
        <f>N998-SUM(C998:L998)</f>
        <v/>
      </c>
      <c r="N998" s="57" t="n">
        <v>5492</v>
      </c>
      <c r="O998" s="62" t="n">
        <v>250</v>
      </c>
      <c r="P998" s="62" t="n">
        <v>4</v>
      </c>
      <c r="Q998" s="62" t="n">
        <v>689</v>
      </c>
      <c r="R998" s="62" t="n">
        <v>787</v>
      </c>
      <c r="S998" s="62" t="n">
        <v>565</v>
      </c>
      <c r="T998" s="62" t="n">
        <v>1200</v>
      </c>
      <c r="U998" s="62" t="n">
        <v>557</v>
      </c>
      <c r="V998" s="62" t="n">
        <v>416</v>
      </c>
      <c r="W998" s="62" t="n">
        <v>1024</v>
      </c>
      <c r="X998" s="62" t="n">
        <v>0</v>
      </c>
    </row>
    <row r="999">
      <c r="A999" s="67" t="n">
        <v>46160</v>
      </c>
      <c r="B999" s="55" t="inlineStr">
        <is>
          <t>NX8</t>
        </is>
      </c>
      <c r="C999" s="63" t="n">
        <v>423.0991384615385</v>
      </c>
      <c r="D999" s="63" t="n">
        <v>335.9904923076924</v>
      </c>
      <c r="E999" s="63" t="n">
        <v>298.6582153846155</v>
      </c>
      <c r="F999" s="63" t="n">
        <v>659.5368923076924</v>
      </c>
      <c r="G999" s="63" t="n">
        <v>391.9889076923077</v>
      </c>
      <c r="H999" s="63" t="n">
        <v>385.7668615384616</v>
      </c>
      <c r="I999" s="63" t="n">
        <v>348.4345846153846</v>
      </c>
      <c r="J999" s="63" t="n">
        <v>304.8802615384616</v>
      </c>
      <c r="K999" s="63" t="n">
        <v>510.2077846153846</v>
      </c>
      <c r="L999" s="63" t="n">
        <v>385.7668615384616</v>
      </c>
      <c r="M999" s="56">
        <f>N999-SUM(C999:L999)</f>
        <v/>
      </c>
      <c r="N999" s="57" t="n">
        <v>4993</v>
      </c>
      <c r="O999" s="62" t="n">
        <v>170</v>
      </c>
      <c r="P999" s="62" t="n">
        <v>3</v>
      </c>
      <c r="Q999" s="62" t="n">
        <v>460</v>
      </c>
      <c r="R999" s="62" t="n">
        <v>787</v>
      </c>
      <c r="S999" s="62" t="n">
        <v>500</v>
      </c>
      <c r="T999" s="62" t="n">
        <v>1200</v>
      </c>
      <c r="U999" s="62" t="n">
        <v>235</v>
      </c>
      <c r="V999" s="62" t="n">
        <v>416</v>
      </c>
      <c r="W999" s="62" t="n">
        <v>1003</v>
      </c>
      <c r="X999" s="62" t="n">
        <v>219</v>
      </c>
    </row>
    <row r="1000">
      <c r="A1000" s="67" t="n">
        <v>46161</v>
      </c>
      <c r="B1000" s="55" t="inlineStr">
        <is>
          <t>NX8</t>
        </is>
      </c>
      <c r="C1000" s="63" t="n">
        <v>413.7779076923077</v>
      </c>
      <c r="D1000" s="63" t="n">
        <v>328.5883384615385</v>
      </c>
      <c r="E1000" s="63" t="n">
        <v>292.0785230769231</v>
      </c>
      <c r="F1000" s="63" t="n">
        <v>645.0067384615385</v>
      </c>
      <c r="G1000" s="63" t="n">
        <v>383.3530615384616</v>
      </c>
      <c r="H1000" s="63" t="n">
        <v>377.2680923076924</v>
      </c>
      <c r="I1000" s="63" t="n">
        <v>340.7582769230769</v>
      </c>
      <c r="J1000" s="63" t="n">
        <v>298.1634923076924</v>
      </c>
      <c r="K1000" s="63" t="n">
        <v>498.967476923077</v>
      </c>
      <c r="L1000" s="63" t="n">
        <v>377.2680923076924</v>
      </c>
      <c r="M1000" s="56">
        <f>N1000-SUM(C1000:L1000)</f>
        <v/>
      </c>
      <c r="N1000" s="57" t="n">
        <v>4883</v>
      </c>
      <c r="O1000" s="62" t="n">
        <v>170</v>
      </c>
      <c r="P1000" s="62" t="n">
        <v>3</v>
      </c>
      <c r="Q1000" s="62" t="n">
        <v>460</v>
      </c>
      <c r="R1000" s="62" t="n">
        <v>787</v>
      </c>
      <c r="S1000" s="62" t="n">
        <v>500</v>
      </c>
      <c r="T1000" s="62" t="n">
        <v>1200</v>
      </c>
      <c r="U1000" s="62" t="n">
        <v>107</v>
      </c>
      <c r="V1000" s="62" t="n">
        <v>416</v>
      </c>
      <c r="W1000" s="62" t="n">
        <v>1021</v>
      </c>
      <c r="X1000" s="62" t="n">
        <v>219</v>
      </c>
    </row>
    <row r="1001">
      <c r="A1001" s="67" t="n">
        <v>46162</v>
      </c>
      <c r="B1001" s="55" t="inlineStr">
        <is>
          <t>NX8</t>
        </is>
      </c>
      <c r="C1001" s="63" t="n">
        <v>409.2867692307692</v>
      </c>
      <c r="D1001" s="63" t="n">
        <v>325.0218461538462</v>
      </c>
      <c r="E1001" s="63" t="n">
        <v>288.9083076923077</v>
      </c>
      <c r="F1001" s="63" t="n">
        <v>638.0058461538462</v>
      </c>
      <c r="G1001" s="63" t="n">
        <v>379.1921538461538</v>
      </c>
      <c r="H1001" s="63" t="n">
        <v>373.1732307692308</v>
      </c>
      <c r="I1001" s="63" t="n">
        <v>337.0596923076923</v>
      </c>
      <c r="J1001" s="63" t="n">
        <v>294.9272307692308</v>
      </c>
      <c r="K1001" s="63" t="n">
        <v>493.5516923076923</v>
      </c>
      <c r="L1001" s="63" t="n">
        <v>373.1732307692308</v>
      </c>
      <c r="M1001" s="56">
        <f>N1001-SUM(C1001:L1001)</f>
        <v/>
      </c>
      <c r="N1001" s="57" t="n">
        <v>4830</v>
      </c>
      <c r="O1001" s="62" t="n">
        <v>170</v>
      </c>
      <c r="P1001" s="62" t="n">
        <v>3</v>
      </c>
      <c r="Q1001" s="62" t="n">
        <v>460</v>
      </c>
      <c r="R1001" s="62" t="n">
        <v>787</v>
      </c>
      <c r="S1001" s="62" t="n">
        <v>500</v>
      </c>
      <c r="T1001" s="62" t="n">
        <v>1200</v>
      </c>
      <c r="U1001" s="62" t="n">
        <v>40</v>
      </c>
      <c r="V1001" s="62" t="n">
        <v>416</v>
      </c>
      <c r="W1001" s="62" t="n">
        <v>1035</v>
      </c>
      <c r="X1001" s="62" t="n">
        <v>219</v>
      </c>
    </row>
    <row r="1002">
      <c r="A1002" s="67" t="n">
        <v>46163</v>
      </c>
      <c r="B1002" s="55" t="inlineStr">
        <is>
          <t>NX8</t>
        </is>
      </c>
      <c r="C1002" s="63" t="n">
        <v>412.2526153846154</v>
      </c>
      <c r="D1002" s="63" t="n">
        <v>327.3770769230769</v>
      </c>
      <c r="E1002" s="63" t="n">
        <v>291.0018461538462</v>
      </c>
      <c r="F1002" s="63" t="n">
        <v>642.6290769230769</v>
      </c>
      <c r="G1002" s="63" t="n">
        <v>381.939923076923</v>
      </c>
      <c r="H1002" s="63" t="n">
        <v>375.8773846153846</v>
      </c>
      <c r="I1002" s="63" t="n">
        <v>339.5021538461538</v>
      </c>
      <c r="J1002" s="63" t="n">
        <v>297.0643846153846</v>
      </c>
      <c r="K1002" s="63" t="n">
        <v>497.1281538461538</v>
      </c>
      <c r="L1002" s="63" t="n">
        <v>375.8773846153846</v>
      </c>
      <c r="M1002" s="56">
        <f>N1002-SUM(C1002:L1002)</f>
        <v/>
      </c>
      <c r="N1002" s="57" t="n">
        <v>4865</v>
      </c>
      <c r="O1002" s="62" t="n">
        <v>170</v>
      </c>
      <c r="P1002" s="62" t="n">
        <v>2</v>
      </c>
      <c r="Q1002" s="62" t="n">
        <v>460</v>
      </c>
      <c r="R1002" s="62" t="n">
        <v>787</v>
      </c>
      <c r="S1002" s="62" t="n">
        <v>500</v>
      </c>
      <c r="T1002" s="62" t="n">
        <v>1200</v>
      </c>
      <c r="U1002" s="62" t="n">
        <v>40</v>
      </c>
      <c r="V1002" s="62" t="n">
        <v>416</v>
      </c>
      <c r="W1002" s="62" t="n">
        <v>1071</v>
      </c>
      <c r="X1002" s="62" t="n">
        <v>219</v>
      </c>
    </row>
    <row r="1003">
      <c r="A1003" s="67" t="n">
        <v>46164</v>
      </c>
      <c r="B1003" s="55" t="inlineStr">
        <is>
          <t>NX8</t>
        </is>
      </c>
      <c r="C1003" s="63" t="n">
        <v>414.2863384615384</v>
      </c>
      <c r="D1003" s="63" t="n">
        <v>328.9920923076923</v>
      </c>
      <c r="E1003" s="63" t="n">
        <v>292.4374153846154</v>
      </c>
      <c r="F1003" s="63" t="n">
        <v>645.7992923076923</v>
      </c>
      <c r="G1003" s="63" t="n">
        <v>383.8241076923077</v>
      </c>
      <c r="H1003" s="63" t="n">
        <v>377.7316615384615</v>
      </c>
      <c r="I1003" s="63" t="n">
        <v>341.1769846153846</v>
      </c>
      <c r="J1003" s="63" t="n">
        <v>298.5298615384615</v>
      </c>
      <c r="K1003" s="63" t="n">
        <v>499.5805846153846</v>
      </c>
      <c r="L1003" s="63" t="n">
        <v>377.7316615384615</v>
      </c>
      <c r="M1003" s="56">
        <f>N1003-SUM(C1003:L1003)</f>
        <v/>
      </c>
      <c r="N1003" s="57" t="n">
        <v>4889</v>
      </c>
      <c r="O1003" s="62" t="n">
        <v>170</v>
      </c>
      <c r="P1003" s="62" t="n">
        <v>2</v>
      </c>
      <c r="Q1003" s="62" t="n">
        <v>460</v>
      </c>
      <c r="R1003" s="62" t="n">
        <v>787</v>
      </c>
      <c r="S1003" s="62" t="n">
        <v>500</v>
      </c>
      <c r="T1003" s="62" t="n">
        <v>1200</v>
      </c>
      <c r="U1003" s="62" t="n">
        <v>63</v>
      </c>
      <c r="V1003" s="62" t="n">
        <v>416</v>
      </c>
      <c r="W1003" s="62" t="n">
        <v>1072</v>
      </c>
      <c r="X1003" s="62" t="n">
        <v>219</v>
      </c>
    </row>
    <row r="1004">
      <c r="A1004" s="67" t="n">
        <v>46165</v>
      </c>
      <c r="B1004" s="55" t="inlineStr">
        <is>
          <t>NX8</t>
        </is>
      </c>
      <c r="C1004" s="63" t="n">
        <v>450.7238769230769</v>
      </c>
      <c r="D1004" s="63" t="n">
        <v>357.9277846153847</v>
      </c>
      <c r="E1004" s="63" t="n">
        <v>318.1580307692308</v>
      </c>
      <c r="F1004" s="63" t="n">
        <v>702.5989846153847</v>
      </c>
      <c r="G1004" s="63" t="n">
        <v>417.5824153846154</v>
      </c>
      <c r="H1004" s="63" t="n">
        <v>410.9541230769231</v>
      </c>
      <c r="I1004" s="63" t="n">
        <v>371.1843692307692</v>
      </c>
      <c r="J1004" s="63" t="n">
        <v>324.7863230769231</v>
      </c>
      <c r="K1004" s="63" t="n">
        <v>543.5199692307692</v>
      </c>
      <c r="L1004" s="63" t="n">
        <v>410.9541230769231</v>
      </c>
      <c r="M1004" s="56">
        <f>N1004-SUM(C1004:L1004)</f>
        <v/>
      </c>
      <c r="N1004" s="57" t="n">
        <v>5319</v>
      </c>
      <c r="O1004" s="62" t="n">
        <v>250</v>
      </c>
      <c r="P1004" s="62" t="n">
        <v>4</v>
      </c>
      <c r="Q1004" s="62" t="n">
        <v>689</v>
      </c>
      <c r="R1004" s="62" t="n">
        <v>787</v>
      </c>
      <c r="S1004" s="62" t="n">
        <v>565</v>
      </c>
      <c r="T1004" s="62" t="n">
        <v>1200</v>
      </c>
      <c r="U1004" s="62" t="n">
        <v>293</v>
      </c>
      <c r="V1004" s="62" t="n">
        <v>416</v>
      </c>
      <c r="W1004" s="62" t="n">
        <v>1115</v>
      </c>
      <c r="X1004" s="62" t="n">
        <v>0</v>
      </c>
    </row>
    <row r="1005">
      <c r="A1005" s="67" t="n">
        <v>46166</v>
      </c>
      <c r="B1005" s="55" t="inlineStr">
        <is>
          <t>NX8</t>
        </is>
      </c>
      <c r="C1005" s="63" t="n">
        <v>451.7407384615385</v>
      </c>
      <c r="D1005" s="63" t="n">
        <v>358.7352923076924</v>
      </c>
      <c r="E1005" s="63" t="n">
        <v>318.8758153846155</v>
      </c>
      <c r="F1005" s="63" t="n">
        <v>704.1840923076924</v>
      </c>
      <c r="G1005" s="63" t="n">
        <v>418.5245076923077</v>
      </c>
      <c r="H1005" s="63" t="n">
        <v>411.8812615384616</v>
      </c>
      <c r="I1005" s="63" t="n">
        <v>372.0217846153847</v>
      </c>
      <c r="J1005" s="63" t="n">
        <v>325.5190615384616</v>
      </c>
      <c r="K1005" s="63" t="n">
        <v>544.7461846153847</v>
      </c>
      <c r="L1005" s="63" t="n">
        <v>411.8812615384616</v>
      </c>
      <c r="M1005" s="56">
        <f>N1005-SUM(C1005:L1005)</f>
        <v/>
      </c>
      <c r="N1005" s="57" t="n">
        <v>5331</v>
      </c>
      <c r="O1005" s="62" t="n">
        <v>250</v>
      </c>
      <c r="P1005" s="62" t="n">
        <v>4</v>
      </c>
      <c r="Q1005" s="62" t="n">
        <v>689</v>
      </c>
      <c r="R1005" s="62" t="n">
        <v>787</v>
      </c>
      <c r="S1005" s="62" t="n">
        <v>565</v>
      </c>
      <c r="T1005" s="62" t="n">
        <v>1200</v>
      </c>
      <c r="U1005" s="62" t="n">
        <v>293</v>
      </c>
      <c r="V1005" s="62" t="n">
        <v>416</v>
      </c>
      <c r="W1005" s="62" t="n">
        <v>1127</v>
      </c>
      <c r="X1005" s="62" t="n">
        <v>0</v>
      </c>
    </row>
    <row r="1006">
      <c r="A1006" s="67" t="n">
        <v>46167</v>
      </c>
      <c r="B1006" s="55" t="inlineStr">
        <is>
          <t>NX8</t>
        </is>
      </c>
      <c r="C1006" s="63" t="n">
        <v>418.4385230769231</v>
      </c>
      <c r="D1006" s="63" t="n">
        <v>332.2894153846154</v>
      </c>
      <c r="E1006" s="63" t="n">
        <v>295.3683692307692</v>
      </c>
      <c r="F1006" s="63" t="n">
        <v>652.2718153846154</v>
      </c>
      <c r="G1006" s="63" t="n">
        <v>387.6709846153846</v>
      </c>
      <c r="H1006" s="63" t="n">
        <v>381.517476923077</v>
      </c>
      <c r="I1006" s="63" t="n">
        <v>344.5964307692308</v>
      </c>
      <c r="J1006" s="63" t="n">
        <v>301.5218769230769</v>
      </c>
      <c r="K1006" s="63" t="n">
        <v>504.5876307692308</v>
      </c>
      <c r="L1006" s="63" t="n">
        <v>381.517476923077</v>
      </c>
      <c r="M1006" s="56">
        <f>N1006-SUM(C1006:L1006)</f>
        <v/>
      </c>
      <c r="N1006" s="57" t="n">
        <v>4938</v>
      </c>
      <c r="O1006" s="62" t="n">
        <v>170</v>
      </c>
      <c r="P1006" s="62" t="n">
        <v>2</v>
      </c>
      <c r="Q1006" s="62" t="n">
        <v>460</v>
      </c>
      <c r="R1006" s="62" t="n">
        <v>787</v>
      </c>
      <c r="S1006" s="62" t="n">
        <v>500</v>
      </c>
      <c r="T1006" s="62" t="n">
        <v>1200</v>
      </c>
      <c r="U1006" s="62" t="n">
        <v>118</v>
      </c>
      <c r="V1006" s="62" t="n">
        <v>416</v>
      </c>
      <c r="W1006" s="62" t="n">
        <v>1066</v>
      </c>
      <c r="X1006" s="62" t="n">
        <v>219</v>
      </c>
    </row>
    <row r="1007">
      <c r="A1007" s="67" t="n">
        <v>46168</v>
      </c>
      <c r="B1007" s="55" t="inlineStr">
        <is>
          <t>NX8</t>
        </is>
      </c>
      <c r="C1007" s="63" t="n">
        <v>410.8968</v>
      </c>
      <c r="D1007" s="63" t="n">
        <v>326.3004</v>
      </c>
      <c r="E1007" s="63" t="n">
        <v>290.0448</v>
      </c>
      <c r="F1007" s="63" t="n">
        <v>640.5155999999999</v>
      </c>
      <c r="G1007" s="63" t="n">
        <v>380.6838</v>
      </c>
      <c r="H1007" s="63" t="n">
        <v>374.6412</v>
      </c>
      <c r="I1007" s="63" t="n">
        <v>338.3856</v>
      </c>
      <c r="J1007" s="63" t="n">
        <v>296.0874</v>
      </c>
      <c r="K1007" s="63" t="n">
        <v>495.4931999999999</v>
      </c>
      <c r="L1007" s="63" t="n">
        <v>374.6412</v>
      </c>
      <c r="M1007" s="56">
        <f>N1007-SUM(C1007:L1007)</f>
        <v/>
      </c>
      <c r="N1007" s="57" t="n">
        <v>4849</v>
      </c>
      <c r="O1007" s="62" t="n">
        <v>170</v>
      </c>
      <c r="P1007" s="62" t="n">
        <v>2</v>
      </c>
      <c r="Q1007" s="62" t="n">
        <v>460</v>
      </c>
      <c r="R1007" s="62" t="n">
        <v>787</v>
      </c>
      <c r="S1007" s="62" t="n">
        <v>500</v>
      </c>
      <c r="T1007" s="62" t="n">
        <v>1200</v>
      </c>
      <c r="U1007" s="62" t="n">
        <v>40</v>
      </c>
      <c r="V1007" s="62" t="n">
        <v>416</v>
      </c>
      <c r="W1007" s="62" t="n">
        <v>1055</v>
      </c>
      <c r="X1007" s="62" t="n">
        <v>219</v>
      </c>
    </row>
    <row r="1008">
      <c r="A1008" s="67" t="n">
        <v>46169</v>
      </c>
      <c r="B1008" s="55" t="inlineStr">
        <is>
          <t>NX8</t>
        </is>
      </c>
      <c r="C1008" s="63" t="n">
        <v>407.7614769230769</v>
      </c>
      <c r="D1008" s="63" t="n">
        <v>323.8105846153846</v>
      </c>
      <c r="E1008" s="63" t="n">
        <v>287.8316307692308</v>
      </c>
      <c r="F1008" s="63" t="n">
        <v>635.6281846153846</v>
      </c>
      <c r="G1008" s="63" t="n">
        <v>377.7790153846154</v>
      </c>
      <c r="H1008" s="63" t="n">
        <v>371.7825230769231</v>
      </c>
      <c r="I1008" s="63" t="n">
        <v>335.8035692307693</v>
      </c>
      <c r="J1008" s="63" t="n">
        <v>293.8281230769231</v>
      </c>
      <c r="K1008" s="63" t="n">
        <v>491.7123692307692</v>
      </c>
      <c r="L1008" s="63" t="n">
        <v>371.7825230769231</v>
      </c>
      <c r="M1008" s="56">
        <f>N1008-SUM(C1008:L1008)</f>
        <v/>
      </c>
      <c r="N1008" s="57" t="n">
        <v>4812</v>
      </c>
      <c r="O1008" s="62" t="n">
        <v>170</v>
      </c>
      <c r="P1008" s="62" t="n">
        <v>2</v>
      </c>
      <c r="Q1008" s="62" t="n">
        <v>460</v>
      </c>
      <c r="R1008" s="62" t="n">
        <v>787</v>
      </c>
      <c r="S1008" s="62" t="n">
        <v>500</v>
      </c>
      <c r="T1008" s="62" t="n">
        <v>1200</v>
      </c>
      <c r="U1008" s="62" t="n">
        <v>21</v>
      </c>
      <c r="V1008" s="62" t="n">
        <v>416</v>
      </c>
      <c r="W1008" s="62" t="n">
        <v>1037</v>
      </c>
      <c r="X1008" s="62" t="n">
        <v>219</v>
      </c>
    </row>
    <row r="1009">
      <c r="A1009" s="67" t="n">
        <v>46170</v>
      </c>
      <c r="B1009" s="55" t="inlineStr">
        <is>
          <t>NX8</t>
        </is>
      </c>
      <c r="C1009" s="63" t="n">
        <v>410.4731076923077</v>
      </c>
      <c r="D1009" s="63" t="n">
        <v>325.9639384615385</v>
      </c>
      <c r="E1009" s="63" t="n">
        <v>289.7457230769231</v>
      </c>
      <c r="F1009" s="63" t="n">
        <v>639.8551384615384</v>
      </c>
      <c r="G1009" s="63" t="n">
        <v>380.2912615384615</v>
      </c>
      <c r="H1009" s="63" t="n">
        <v>374.2548923076923</v>
      </c>
      <c r="I1009" s="63" t="n">
        <v>338.0366769230769</v>
      </c>
      <c r="J1009" s="63" t="n">
        <v>295.7820923076923</v>
      </c>
      <c r="K1009" s="63" t="n">
        <v>494.9822769230769</v>
      </c>
      <c r="L1009" s="63" t="n">
        <v>374.2548923076923</v>
      </c>
      <c r="M1009" s="56">
        <f>N1009-SUM(C1009:L1009)</f>
        <v/>
      </c>
      <c r="N1009" s="57" t="n">
        <v>4844</v>
      </c>
      <c r="O1009" s="62" t="n">
        <v>170</v>
      </c>
      <c r="P1009" s="62" t="n">
        <v>2</v>
      </c>
      <c r="Q1009" s="62" t="n">
        <v>460</v>
      </c>
      <c r="R1009" s="62" t="n">
        <v>787</v>
      </c>
      <c r="S1009" s="62" t="n">
        <v>500</v>
      </c>
      <c r="T1009" s="62" t="n">
        <v>1200</v>
      </c>
      <c r="U1009" s="62" t="n">
        <v>21</v>
      </c>
      <c r="V1009" s="62" t="n">
        <v>416</v>
      </c>
      <c r="W1009" s="62" t="n">
        <v>1069</v>
      </c>
      <c r="X1009" s="62" t="n">
        <v>219</v>
      </c>
    </row>
    <row r="1010">
      <c r="A1010" s="67" t="n">
        <v>46171</v>
      </c>
      <c r="B1010" s="55" t="inlineStr">
        <is>
          <t>NX8</t>
        </is>
      </c>
      <c r="C1010" s="63" t="n">
        <v>416.4048</v>
      </c>
      <c r="D1010" s="63" t="n">
        <v>330.6744</v>
      </c>
      <c r="E1010" s="63" t="n">
        <v>293.9328</v>
      </c>
      <c r="F1010" s="63" t="n">
        <v>649.1016</v>
      </c>
      <c r="G1010" s="63" t="n">
        <v>385.7868</v>
      </c>
      <c r="H1010" s="63" t="n">
        <v>379.6632</v>
      </c>
      <c r="I1010" s="63" t="n">
        <v>342.9216</v>
      </c>
      <c r="J1010" s="63" t="n">
        <v>300.0564</v>
      </c>
      <c r="K1010" s="63" t="n">
        <v>502.1352</v>
      </c>
      <c r="L1010" s="63" t="n">
        <v>379.6632</v>
      </c>
      <c r="M1010" s="56">
        <f>N1010-SUM(C1010:L1010)</f>
        <v/>
      </c>
      <c r="N1010" s="57" t="n">
        <v>4914</v>
      </c>
      <c r="O1010" s="62" t="n">
        <v>170</v>
      </c>
      <c r="P1010" s="62" t="n">
        <v>2</v>
      </c>
      <c r="Q1010" s="62" t="n">
        <v>460</v>
      </c>
      <c r="R1010" s="62" t="n">
        <v>787</v>
      </c>
      <c r="S1010" s="62" t="n">
        <v>565</v>
      </c>
      <c r="T1010" s="62" t="n">
        <v>1200</v>
      </c>
      <c r="U1010" s="62" t="n">
        <v>21</v>
      </c>
      <c r="V1010" s="62" t="n">
        <v>416</v>
      </c>
      <c r="W1010" s="62" t="n">
        <v>1074</v>
      </c>
      <c r="X1010" s="62" t="n">
        <v>219</v>
      </c>
    </row>
    <row r="1011">
      <c r="A1011" s="67" t="n">
        <v>46172</v>
      </c>
      <c r="B1011" s="55" t="inlineStr">
        <is>
          <t>NX8</t>
        </is>
      </c>
      <c r="C1011" s="63" t="n">
        <v>439.0299692307693</v>
      </c>
      <c r="D1011" s="63" t="n">
        <v>348.6414461538462</v>
      </c>
      <c r="E1011" s="63" t="n">
        <v>309.9035076923078</v>
      </c>
      <c r="F1011" s="63" t="n">
        <v>684.3702461538462</v>
      </c>
      <c r="G1011" s="63" t="n">
        <v>406.7483538461539</v>
      </c>
      <c r="H1011" s="63" t="n">
        <v>400.2920307692308</v>
      </c>
      <c r="I1011" s="63" t="n">
        <v>361.5540923076923</v>
      </c>
      <c r="J1011" s="63" t="n">
        <v>316.3598307692308</v>
      </c>
      <c r="K1011" s="63" t="n">
        <v>529.4184923076923</v>
      </c>
      <c r="L1011" s="63" t="n">
        <v>400.2920307692308</v>
      </c>
      <c r="M1011" s="56">
        <f>N1011-SUM(C1011:L1011)</f>
        <v/>
      </c>
      <c r="N1011" s="57" t="n">
        <v>5181</v>
      </c>
      <c r="O1011" s="62" t="n">
        <v>250</v>
      </c>
      <c r="P1011" s="62" t="n">
        <v>4</v>
      </c>
      <c r="Q1011" s="62" t="n">
        <v>689</v>
      </c>
      <c r="R1011" s="62" t="n">
        <v>787</v>
      </c>
      <c r="S1011" s="62" t="n">
        <v>565</v>
      </c>
      <c r="T1011" s="62" t="n">
        <v>1252</v>
      </c>
      <c r="U1011" s="62" t="n">
        <v>130</v>
      </c>
      <c r="V1011" s="62" t="n">
        <v>416</v>
      </c>
      <c r="W1011" s="62" t="n">
        <v>1088</v>
      </c>
      <c r="X1011" s="62" t="n">
        <v>0</v>
      </c>
    </row>
    <row r="1012">
      <c r="A1012" s="67" t="n">
        <v>46173</v>
      </c>
      <c r="B1012" s="55" t="inlineStr">
        <is>
          <t>NX8</t>
        </is>
      </c>
      <c r="C1012" s="63" t="n">
        <v>535.3775999999999</v>
      </c>
      <c r="D1012" s="63" t="n">
        <v>425.1528</v>
      </c>
      <c r="E1012" s="63" t="n">
        <v>377.9136</v>
      </c>
      <c r="F1012" s="63" t="n">
        <v>834.5591999999999</v>
      </c>
      <c r="G1012" s="63" t="n">
        <v>496.0116</v>
      </c>
      <c r="H1012" s="63" t="n">
        <v>488.1384</v>
      </c>
      <c r="I1012" s="63" t="n">
        <v>440.8992</v>
      </c>
      <c r="J1012" s="63" t="n">
        <v>385.7868</v>
      </c>
      <c r="K1012" s="63" t="n">
        <v>645.6024</v>
      </c>
      <c r="L1012" s="63" t="n">
        <v>488.1384</v>
      </c>
      <c r="M1012" s="56">
        <f>N1012-SUM(C1012:L1012)</f>
        <v/>
      </c>
      <c r="N1012" s="57" t="n">
        <v>6318</v>
      </c>
      <c r="O1012" s="62" t="n">
        <v>250</v>
      </c>
      <c r="P1012" s="62" t="n">
        <v>4</v>
      </c>
      <c r="Q1012" s="62" t="n">
        <v>689</v>
      </c>
      <c r="R1012" s="62" t="n">
        <v>788</v>
      </c>
      <c r="S1012" s="62" t="n">
        <v>565</v>
      </c>
      <c r="T1012" s="62" t="n">
        <v>2400</v>
      </c>
      <c r="U1012" s="62" t="n">
        <v>130</v>
      </c>
      <c r="V1012" s="62" t="n">
        <v>416</v>
      </c>
      <c r="W1012" s="62" t="n">
        <v>1076</v>
      </c>
      <c r="X1012" s="62" t="n">
        <v>0</v>
      </c>
    </row>
    <row r="1013">
      <c r="A1013" s="67" t="n">
        <v>46174</v>
      </c>
      <c r="B1013" s="55" t="inlineStr">
        <is>
          <t>NX8</t>
        </is>
      </c>
      <c r="C1013" s="56" t="n"/>
      <c r="D1013" s="56" t="n"/>
      <c r="E1013" s="56" t="n"/>
      <c r="F1013" s="56" t="n"/>
      <c r="G1013" s="56" t="n"/>
      <c r="H1013" s="56" t="n"/>
      <c r="I1013" s="56" t="n"/>
      <c r="J1013" s="56" t="n"/>
      <c r="K1013" s="56" t="n"/>
      <c r="L1013" s="56" t="n"/>
      <c r="M1013" s="56">
        <f>N1013-SUM(C1013:L1013)</f>
        <v/>
      </c>
      <c r="N1013" s="57" t="n"/>
      <c r="O1013" s="56" t="n"/>
      <c r="P1013" s="56" t="n"/>
      <c r="Q1013" s="56" t="n"/>
      <c r="R1013" s="56" t="n"/>
      <c r="S1013" s="56" t="n"/>
      <c r="T1013" s="56" t="n"/>
      <c r="U1013" s="56" t="n"/>
      <c r="V1013" s="56" t="n"/>
      <c r="W1013" s="56" t="n"/>
      <c r="X1013" s="56" t="n"/>
    </row>
    <row r="1014">
      <c r="A1014" s="67" t="n">
        <v>46175</v>
      </c>
      <c r="B1014" s="55" t="inlineStr">
        <is>
          <t>NX8</t>
        </is>
      </c>
      <c r="C1014" s="56" t="n"/>
      <c r="D1014" s="56" t="n"/>
      <c r="E1014" s="56" t="n"/>
      <c r="F1014" s="56" t="n"/>
      <c r="G1014" s="56" t="n"/>
      <c r="H1014" s="56" t="n"/>
      <c r="I1014" s="56" t="n"/>
      <c r="J1014" s="56" t="n"/>
      <c r="K1014" s="56" t="n"/>
      <c r="L1014" s="56" t="n"/>
      <c r="M1014" s="56">
        <f>N1014-SUM(C1014:L1014)</f>
        <v/>
      </c>
      <c r="N1014" s="57" t="n"/>
      <c r="O1014" s="56" t="n"/>
      <c r="P1014" s="56" t="n"/>
      <c r="Q1014" s="56" t="n"/>
      <c r="R1014" s="56" t="n"/>
      <c r="S1014" s="56" t="n"/>
      <c r="T1014" s="56" t="n"/>
      <c r="U1014" s="56" t="n"/>
      <c r="V1014" s="56" t="n"/>
      <c r="W1014" s="56" t="n"/>
      <c r="X1014" s="56" t="n"/>
    </row>
    <row r="1015">
      <c r="A1015" s="67" t="n">
        <v>46176</v>
      </c>
      <c r="B1015" s="55" t="inlineStr">
        <is>
          <t>NX8</t>
        </is>
      </c>
      <c r="C1015" s="56" t="n"/>
      <c r="D1015" s="56" t="n"/>
      <c r="E1015" s="56" t="n"/>
      <c r="F1015" s="56" t="n"/>
      <c r="G1015" s="56" t="n"/>
      <c r="H1015" s="56" t="n"/>
      <c r="I1015" s="56" t="n"/>
      <c r="J1015" s="56" t="n"/>
      <c r="K1015" s="56" t="n"/>
      <c r="L1015" s="56" t="n"/>
      <c r="M1015" s="56">
        <f>N1015-SUM(C1015:L1015)</f>
        <v/>
      </c>
      <c r="N1015" s="57" t="n"/>
      <c r="O1015" s="56" t="n"/>
      <c r="P1015" s="56" t="n"/>
      <c r="Q1015" s="56" t="n"/>
      <c r="R1015" s="56" t="n"/>
      <c r="S1015" s="56" t="n"/>
      <c r="T1015" s="56" t="n"/>
      <c r="U1015" s="56" t="n"/>
      <c r="V1015" s="56" t="n"/>
      <c r="W1015" s="56" t="n"/>
      <c r="X1015" s="56" t="n"/>
    </row>
    <row r="1016">
      <c r="A1016" s="67" t="n">
        <v>46177</v>
      </c>
      <c r="B1016" s="55" t="inlineStr">
        <is>
          <t>NX8</t>
        </is>
      </c>
      <c r="C1016" s="56" t="n"/>
      <c r="D1016" s="56" t="n"/>
      <c r="E1016" s="56" t="n"/>
      <c r="F1016" s="56" t="n"/>
      <c r="G1016" s="56" t="n"/>
      <c r="H1016" s="56" t="n"/>
      <c r="I1016" s="56" t="n"/>
      <c r="J1016" s="56" t="n"/>
      <c r="K1016" s="56" t="n"/>
      <c r="L1016" s="56" t="n"/>
      <c r="M1016" s="56">
        <f>N1016-SUM(C1016:L1016)</f>
        <v/>
      </c>
      <c r="N1016" s="57" t="n"/>
      <c r="O1016" s="56" t="n"/>
      <c r="P1016" s="56" t="n"/>
      <c r="Q1016" s="56" t="n"/>
      <c r="R1016" s="56" t="n"/>
      <c r="S1016" s="56" t="n"/>
      <c r="T1016" s="56" t="n"/>
      <c r="U1016" s="56" t="n"/>
      <c r="V1016" s="56" t="n"/>
      <c r="W1016" s="56" t="n"/>
      <c r="X1016" s="56" t="n"/>
    </row>
    <row r="1017">
      <c r="A1017" s="67" t="n">
        <v>46178</v>
      </c>
      <c r="B1017" s="55" t="inlineStr">
        <is>
          <t>NX8</t>
        </is>
      </c>
      <c r="C1017" s="56" t="n"/>
      <c r="D1017" s="56" t="n"/>
      <c r="E1017" s="56" t="n"/>
      <c r="F1017" s="56" t="n"/>
      <c r="G1017" s="56" t="n"/>
      <c r="H1017" s="56" t="n"/>
      <c r="I1017" s="56" t="n"/>
      <c r="J1017" s="56" t="n"/>
      <c r="K1017" s="56" t="n"/>
      <c r="L1017" s="56" t="n"/>
      <c r="M1017" s="56">
        <f>N1017-SUM(C1017:L1017)</f>
        <v/>
      </c>
      <c r="N1017" s="57" t="n"/>
      <c r="O1017" s="56" t="n"/>
      <c r="P1017" s="56" t="n"/>
      <c r="Q1017" s="56" t="n"/>
      <c r="R1017" s="56" t="n"/>
      <c r="S1017" s="56" t="n"/>
      <c r="T1017" s="56" t="n"/>
      <c r="U1017" s="56" t="n"/>
      <c r="V1017" s="56" t="n"/>
      <c r="W1017" s="56" t="n"/>
      <c r="X1017" s="56" t="n"/>
    </row>
    <row r="1018">
      <c r="A1018" s="67" t="n">
        <v>46179</v>
      </c>
      <c r="B1018" s="55" t="inlineStr">
        <is>
          <t>NX8</t>
        </is>
      </c>
      <c r="C1018" s="56" t="n"/>
      <c r="D1018" s="56" t="n"/>
      <c r="E1018" s="56" t="n"/>
      <c r="F1018" s="56" t="n"/>
      <c r="G1018" s="56" t="n"/>
      <c r="H1018" s="56" t="n"/>
      <c r="I1018" s="56" t="n"/>
      <c r="J1018" s="56" t="n"/>
      <c r="K1018" s="56" t="n"/>
      <c r="L1018" s="56" t="n"/>
      <c r="M1018" s="56">
        <f>N1018-SUM(C1018:L1018)</f>
        <v/>
      </c>
      <c r="N1018" s="57" t="n"/>
      <c r="O1018" s="56" t="n"/>
      <c r="P1018" s="56" t="n"/>
      <c r="Q1018" s="56" t="n"/>
      <c r="R1018" s="56" t="n"/>
      <c r="S1018" s="56" t="n"/>
      <c r="T1018" s="56" t="n"/>
      <c r="U1018" s="56" t="n"/>
      <c r="V1018" s="56" t="n"/>
      <c r="W1018" s="56" t="n"/>
      <c r="X1018" s="56" t="n"/>
    </row>
    <row r="1019">
      <c r="A1019" s="67" t="n">
        <v>46180</v>
      </c>
      <c r="B1019" s="55" t="inlineStr">
        <is>
          <t>NX8</t>
        </is>
      </c>
      <c r="C1019" s="56" t="n"/>
      <c r="D1019" s="56" t="n"/>
      <c r="E1019" s="56" t="n"/>
      <c r="F1019" s="56" t="n"/>
      <c r="G1019" s="56" t="n"/>
      <c r="H1019" s="56" t="n"/>
      <c r="I1019" s="56" t="n"/>
      <c r="J1019" s="56" t="n"/>
      <c r="K1019" s="56" t="n"/>
      <c r="L1019" s="56" t="n"/>
      <c r="M1019" s="56">
        <f>N1019-SUM(C1019:L1019)</f>
        <v/>
      </c>
      <c r="N1019" s="57" t="n"/>
      <c r="O1019" s="56" t="n"/>
      <c r="P1019" s="56" t="n"/>
      <c r="Q1019" s="56" t="n"/>
      <c r="R1019" s="56" t="n"/>
      <c r="S1019" s="56" t="n"/>
      <c r="T1019" s="56" t="n"/>
      <c r="U1019" s="56" t="n"/>
      <c r="V1019" s="56" t="n"/>
      <c r="W1019" s="56" t="n"/>
      <c r="X1019" s="56" t="n"/>
    </row>
    <row r="1020">
      <c r="A1020" s="67" t="n">
        <v>46181</v>
      </c>
      <c r="B1020" s="55" t="inlineStr">
        <is>
          <t>NX8</t>
        </is>
      </c>
      <c r="C1020" s="56" t="n"/>
      <c r="D1020" s="56" t="n"/>
      <c r="E1020" s="56" t="n"/>
      <c r="F1020" s="56" t="n"/>
      <c r="G1020" s="56" t="n"/>
      <c r="H1020" s="56" t="n"/>
      <c r="I1020" s="56" t="n"/>
      <c r="J1020" s="56" t="n"/>
      <c r="K1020" s="56" t="n"/>
      <c r="L1020" s="56" t="n"/>
      <c r="M1020" s="56">
        <f>N1020-SUM(C1020:L1020)</f>
        <v/>
      </c>
      <c r="N1020" s="57" t="n"/>
      <c r="O1020" s="56" t="n"/>
      <c r="P1020" s="56" t="n"/>
      <c r="Q1020" s="56" t="n"/>
      <c r="R1020" s="56" t="n"/>
      <c r="S1020" s="56" t="n"/>
      <c r="T1020" s="56" t="n"/>
      <c r="U1020" s="56" t="n"/>
      <c r="V1020" s="56" t="n"/>
      <c r="W1020" s="56" t="n"/>
      <c r="X1020" s="56" t="n"/>
    </row>
    <row r="1021">
      <c r="A1021" s="67" t="n">
        <v>46182</v>
      </c>
      <c r="B1021" s="55" t="inlineStr">
        <is>
          <t>NX8</t>
        </is>
      </c>
      <c r="C1021" s="56" t="n"/>
      <c r="D1021" s="56" t="n"/>
      <c r="E1021" s="56" t="n"/>
      <c r="F1021" s="56" t="n"/>
      <c r="G1021" s="56" t="n"/>
      <c r="H1021" s="56" t="n"/>
      <c r="I1021" s="56" t="n"/>
      <c r="J1021" s="56" t="n"/>
      <c r="K1021" s="56" t="n"/>
      <c r="L1021" s="56" t="n"/>
      <c r="M1021" s="56">
        <f>N1021-SUM(C1021:L1021)</f>
        <v/>
      </c>
      <c r="N1021" s="57" t="n"/>
      <c r="O1021" s="56" t="n"/>
      <c r="P1021" s="56" t="n"/>
      <c r="Q1021" s="56" t="n"/>
      <c r="R1021" s="56" t="n"/>
      <c r="S1021" s="56" t="n"/>
      <c r="T1021" s="56" t="n"/>
      <c r="U1021" s="56" t="n"/>
      <c r="V1021" s="56" t="n"/>
      <c r="W1021" s="56" t="n"/>
      <c r="X1021" s="56" t="n"/>
    </row>
    <row r="1022">
      <c r="A1022" s="67" t="n">
        <v>46183</v>
      </c>
      <c r="B1022" s="55" t="inlineStr">
        <is>
          <t>NX8</t>
        </is>
      </c>
      <c r="C1022" s="56" t="n"/>
      <c r="D1022" s="56" t="n"/>
      <c r="E1022" s="56" t="n"/>
      <c r="F1022" s="56" t="n"/>
      <c r="G1022" s="56" t="n"/>
      <c r="H1022" s="56" t="n"/>
      <c r="I1022" s="56" t="n"/>
      <c r="J1022" s="56" t="n"/>
      <c r="K1022" s="56" t="n"/>
      <c r="L1022" s="56" t="n"/>
      <c r="M1022" s="56">
        <f>N1022-SUM(C1022:L1022)</f>
        <v/>
      </c>
      <c r="N1022" s="57" t="n"/>
      <c r="O1022" s="56" t="n"/>
      <c r="P1022" s="56" t="n"/>
      <c r="Q1022" s="56" t="n"/>
      <c r="R1022" s="56" t="n"/>
      <c r="S1022" s="56" t="n"/>
      <c r="T1022" s="56" t="n"/>
      <c r="U1022" s="56" t="n"/>
      <c r="V1022" s="56" t="n"/>
      <c r="W1022" s="56" t="n"/>
      <c r="X1022" s="56" t="n"/>
    </row>
    <row r="1023">
      <c r="A1023" s="67" t="n">
        <v>46184</v>
      </c>
      <c r="B1023" s="55" t="inlineStr">
        <is>
          <t>NX8</t>
        </is>
      </c>
      <c r="C1023" s="56" t="n"/>
      <c r="D1023" s="56" t="n"/>
      <c r="E1023" s="56" t="n"/>
      <c r="F1023" s="56" t="n"/>
      <c r="G1023" s="56" t="n"/>
      <c r="H1023" s="56" t="n"/>
      <c r="I1023" s="56" t="n"/>
      <c r="J1023" s="56" t="n"/>
      <c r="K1023" s="56" t="n"/>
      <c r="L1023" s="56" t="n"/>
      <c r="M1023" s="56">
        <f>N1023-SUM(C1023:L1023)</f>
        <v/>
      </c>
      <c r="N1023" s="57" t="n"/>
      <c r="O1023" s="56" t="n"/>
      <c r="P1023" s="56" t="n"/>
      <c r="Q1023" s="56" t="n"/>
      <c r="R1023" s="56" t="n"/>
      <c r="S1023" s="56" t="n"/>
      <c r="T1023" s="56" t="n"/>
      <c r="U1023" s="56" t="n"/>
      <c r="V1023" s="56" t="n"/>
      <c r="W1023" s="56" t="n"/>
      <c r="X1023" s="56" t="n"/>
    </row>
    <row r="1024">
      <c r="A1024" s="67" t="n">
        <v>46185</v>
      </c>
      <c r="B1024" s="55" t="inlineStr">
        <is>
          <t>NX8</t>
        </is>
      </c>
      <c r="C1024" s="56" t="n"/>
      <c r="D1024" s="56" t="n"/>
      <c r="E1024" s="56" t="n"/>
      <c r="F1024" s="56" t="n"/>
      <c r="G1024" s="56" t="n"/>
      <c r="H1024" s="56" t="n"/>
      <c r="I1024" s="56" t="n"/>
      <c r="J1024" s="56" t="n"/>
      <c r="K1024" s="56" t="n"/>
      <c r="L1024" s="56" t="n"/>
      <c r="M1024" s="56">
        <f>N1024-SUM(C1024:L1024)</f>
        <v/>
      </c>
      <c r="N1024" s="57" t="n"/>
      <c r="O1024" s="56" t="n"/>
      <c r="P1024" s="56" t="n"/>
      <c r="Q1024" s="56" t="n"/>
      <c r="R1024" s="56" t="n"/>
      <c r="S1024" s="56" t="n"/>
      <c r="T1024" s="56" t="n"/>
      <c r="U1024" s="56" t="n"/>
      <c r="V1024" s="56" t="n"/>
      <c r="W1024" s="56" t="n"/>
      <c r="X1024" s="56" t="n"/>
    </row>
    <row r="1025">
      <c r="A1025" s="67" t="n">
        <v>46186</v>
      </c>
      <c r="B1025" s="55" t="inlineStr">
        <is>
          <t>NX8</t>
        </is>
      </c>
      <c r="C1025" s="56" t="n"/>
      <c r="D1025" s="56" t="n"/>
      <c r="E1025" s="56" t="n"/>
      <c r="F1025" s="56" t="n"/>
      <c r="G1025" s="56" t="n"/>
      <c r="H1025" s="56" t="n"/>
      <c r="I1025" s="56" t="n"/>
      <c r="J1025" s="56" t="n"/>
      <c r="K1025" s="56" t="n"/>
      <c r="L1025" s="56" t="n"/>
      <c r="M1025" s="56">
        <f>N1025-SUM(C1025:L1025)</f>
        <v/>
      </c>
      <c r="N1025" s="57" t="n"/>
      <c r="O1025" s="56" t="n"/>
      <c r="P1025" s="56" t="n"/>
      <c r="Q1025" s="56" t="n"/>
      <c r="R1025" s="56" t="n"/>
      <c r="S1025" s="56" t="n"/>
      <c r="T1025" s="56" t="n"/>
      <c r="U1025" s="56" t="n"/>
      <c r="V1025" s="56" t="n"/>
      <c r="W1025" s="56" t="n"/>
      <c r="X1025" s="56" t="n"/>
    </row>
    <row r="1026">
      <c r="A1026" s="67" t="n">
        <v>46187</v>
      </c>
      <c r="B1026" s="55" t="inlineStr">
        <is>
          <t>NX8</t>
        </is>
      </c>
      <c r="C1026" s="56" t="n"/>
      <c r="D1026" s="56" t="n"/>
      <c r="E1026" s="56" t="n"/>
      <c r="F1026" s="56" t="n"/>
      <c r="G1026" s="56" t="n"/>
      <c r="H1026" s="56" t="n"/>
      <c r="I1026" s="56" t="n"/>
      <c r="J1026" s="56" t="n"/>
      <c r="K1026" s="56" t="n"/>
      <c r="L1026" s="56" t="n"/>
      <c r="M1026" s="56">
        <f>N1026-SUM(C1026:L1026)</f>
        <v/>
      </c>
      <c r="N1026" s="57" t="n"/>
      <c r="O1026" s="56" t="n"/>
      <c r="P1026" s="56" t="n"/>
      <c r="Q1026" s="56" t="n"/>
      <c r="R1026" s="56" t="n"/>
      <c r="S1026" s="56" t="n"/>
      <c r="T1026" s="56" t="n"/>
      <c r="U1026" s="56" t="n"/>
      <c r="V1026" s="56" t="n"/>
      <c r="W1026" s="56" t="n"/>
      <c r="X1026" s="56" t="n"/>
    </row>
    <row r="1027">
      <c r="A1027" s="67" t="n">
        <v>46188</v>
      </c>
      <c r="B1027" s="55" t="inlineStr">
        <is>
          <t>NX8</t>
        </is>
      </c>
      <c r="C1027" s="56" t="n"/>
      <c r="D1027" s="56" t="n"/>
      <c r="E1027" s="56" t="n"/>
      <c r="F1027" s="56" t="n"/>
      <c r="G1027" s="56" t="n"/>
      <c r="H1027" s="56" t="n"/>
      <c r="I1027" s="56" t="n"/>
      <c r="J1027" s="56" t="n"/>
      <c r="K1027" s="56" t="n"/>
      <c r="L1027" s="56" t="n"/>
      <c r="M1027" s="56">
        <f>N1027-SUM(C1027:L1027)</f>
        <v/>
      </c>
      <c r="N1027" s="57" t="n"/>
      <c r="O1027" s="56" t="n"/>
      <c r="P1027" s="56" t="n"/>
      <c r="Q1027" s="56" t="n"/>
      <c r="R1027" s="56" t="n"/>
      <c r="S1027" s="56" t="n"/>
      <c r="T1027" s="56" t="n"/>
      <c r="U1027" s="56" t="n"/>
      <c r="V1027" s="56" t="n"/>
      <c r="W1027" s="56" t="n"/>
      <c r="X1027" s="56" t="n"/>
    </row>
    <row r="1028">
      <c r="A1028" s="67" t="n">
        <v>46189</v>
      </c>
      <c r="B1028" s="55" t="inlineStr">
        <is>
          <t>NX8</t>
        </is>
      </c>
      <c r="C1028" s="56" t="n"/>
      <c r="D1028" s="56" t="n"/>
      <c r="E1028" s="56" t="n"/>
      <c r="F1028" s="56" t="n"/>
      <c r="G1028" s="56" t="n"/>
      <c r="H1028" s="56" t="n"/>
      <c r="I1028" s="56" t="n"/>
      <c r="J1028" s="56" t="n"/>
      <c r="K1028" s="56" t="n"/>
      <c r="L1028" s="56" t="n"/>
      <c r="M1028" s="56">
        <f>N1028-SUM(C1028:L1028)</f>
        <v/>
      </c>
      <c r="N1028" s="57" t="n"/>
      <c r="O1028" s="56" t="n"/>
      <c r="P1028" s="56" t="n"/>
      <c r="Q1028" s="56" t="n"/>
      <c r="R1028" s="56" t="n"/>
      <c r="S1028" s="56" t="n"/>
      <c r="T1028" s="56" t="n"/>
      <c r="U1028" s="56" t="n"/>
      <c r="V1028" s="56" t="n"/>
      <c r="W1028" s="56" t="n"/>
      <c r="X1028" s="56" t="n"/>
    </row>
    <row r="1029">
      <c r="A1029" s="67" t="n">
        <v>46190</v>
      </c>
      <c r="B1029" s="55" t="inlineStr">
        <is>
          <t>NX8</t>
        </is>
      </c>
      <c r="C1029" s="56" t="n"/>
      <c r="D1029" s="56" t="n"/>
      <c r="E1029" s="56" t="n"/>
      <c r="F1029" s="56" t="n"/>
      <c r="G1029" s="56" t="n"/>
      <c r="H1029" s="56" t="n"/>
      <c r="I1029" s="56" t="n"/>
      <c r="J1029" s="56" t="n"/>
      <c r="K1029" s="56" t="n"/>
      <c r="L1029" s="56" t="n"/>
      <c r="M1029" s="56">
        <f>N1029-SUM(C1029:L1029)</f>
        <v/>
      </c>
      <c r="N1029" s="57" t="n"/>
      <c r="O1029" s="56" t="n"/>
      <c r="P1029" s="56" t="n"/>
      <c r="Q1029" s="56" t="n"/>
      <c r="R1029" s="56" t="n"/>
      <c r="S1029" s="56" t="n"/>
      <c r="T1029" s="56" t="n"/>
      <c r="U1029" s="56" t="n"/>
      <c r="V1029" s="56" t="n"/>
      <c r="W1029" s="56" t="n"/>
      <c r="X1029" s="56" t="n"/>
    </row>
    <row r="1030">
      <c r="A1030" s="67" t="n">
        <v>46191</v>
      </c>
      <c r="B1030" s="55" t="inlineStr">
        <is>
          <t>NX8</t>
        </is>
      </c>
      <c r="C1030" s="56" t="n"/>
      <c r="D1030" s="56" t="n"/>
      <c r="E1030" s="56" t="n"/>
      <c r="F1030" s="56" t="n"/>
      <c r="G1030" s="56" t="n"/>
      <c r="H1030" s="56" t="n"/>
      <c r="I1030" s="56" t="n"/>
      <c r="J1030" s="56" t="n"/>
      <c r="K1030" s="56" t="n"/>
      <c r="L1030" s="56" t="n"/>
      <c r="M1030" s="56">
        <f>N1030-SUM(C1030:L1030)</f>
        <v/>
      </c>
      <c r="N1030" s="57" t="n"/>
      <c r="O1030" s="56" t="n"/>
      <c r="P1030" s="56" t="n"/>
      <c r="Q1030" s="56" t="n"/>
      <c r="R1030" s="56" t="n"/>
      <c r="S1030" s="56" t="n"/>
      <c r="T1030" s="56" t="n"/>
      <c r="U1030" s="56" t="n"/>
      <c r="V1030" s="56" t="n"/>
      <c r="W1030" s="56" t="n"/>
      <c r="X1030" s="56" t="n"/>
    </row>
    <row r="1031">
      <c r="A1031" s="67" t="n">
        <v>46192</v>
      </c>
      <c r="B1031" s="55" t="inlineStr">
        <is>
          <t>NX8</t>
        </is>
      </c>
      <c r="C1031" s="56" t="n"/>
      <c r="D1031" s="56" t="n"/>
      <c r="E1031" s="56" t="n"/>
      <c r="F1031" s="56" t="n"/>
      <c r="G1031" s="56" t="n"/>
      <c r="H1031" s="56" t="n"/>
      <c r="I1031" s="56" t="n"/>
      <c r="J1031" s="56" t="n"/>
      <c r="K1031" s="56" t="n"/>
      <c r="L1031" s="56" t="n"/>
      <c r="M1031" s="56">
        <f>N1031-SUM(C1031:L1031)</f>
        <v/>
      </c>
      <c r="N1031" s="57" t="n"/>
      <c r="O1031" s="56" t="n"/>
      <c r="P1031" s="56" t="n"/>
      <c r="Q1031" s="56" t="n"/>
      <c r="R1031" s="56" t="n"/>
      <c r="S1031" s="56" t="n"/>
      <c r="T1031" s="56" t="n"/>
      <c r="U1031" s="56" t="n"/>
      <c r="V1031" s="56" t="n"/>
      <c r="W1031" s="56" t="n"/>
      <c r="X1031" s="56" t="n"/>
    </row>
    <row r="1032">
      <c r="A1032" s="67" t="n">
        <v>46193</v>
      </c>
      <c r="B1032" s="55" t="inlineStr">
        <is>
          <t>NX8</t>
        </is>
      </c>
      <c r="C1032" s="56" t="n"/>
      <c r="D1032" s="56" t="n"/>
      <c r="E1032" s="56" t="n"/>
      <c r="F1032" s="56" t="n"/>
      <c r="G1032" s="56" t="n"/>
      <c r="H1032" s="56" t="n"/>
      <c r="I1032" s="56" t="n"/>
      <c r="J1032" s="56" t="n"/>
      <c r="K1032" s="56" t="n"/>
      <c r="L1032" s="56" t="n"/>
      <c r="M1032" s="56">
        <f>N1032-SUM(C1032:L1032)</f>
        <v/>
      </c>
      <c r="N1032" s="57" t="n"/>
      <c r="O1032" s="56" t="n"/>
      <c r="P1032" s="56" t="n"/>
      <c r="Q1032" s="56" t="n"/>
      <c r="R1032" s="56" t="n"/>
      <c r="S1032" s="56" t="n"/>
      <c r="T1032" s="56" t="n"/>
      <c r="U1032" s="56" t="n"/>
      <c r="V1032" s="56" t="n"/>
      <c r="W1032" s="56" t="n"/>
      <c r="X1032" s="56" t="n"/>
    </row>
    <row r="1033">
      <c r="A1033" s="67" t="n">
        <v>46194</v>
      </c>
      <c r="B1033" s="55" t="inlineStr">
        <is>
          <t>NX8</t>
        </is>
      </c>
      <c r="C1033" s="56" t="n"/>
      <c r="D1033" s="56" t="n"/>
      <c r="E1033" s="56" t="n"/>
      <c r="F1033" s="56" t="n"/>
      <c r="G1033" s="56" t="n"/>
      <c r="H1033" s="56" t="n"/>
      <c r="I1033" s="56" t="n"/>
      <c r="J1033" s="56" t="n"/>
      <c r="K1033" s="56" t="n"/>
      <c r="L1033" s="56" t="n"/>
      <c r="M1033" s="56">
        <f>N1033-SUM(C1033:L1033)</f>
        <v/>
      </c>
      <c r="N1033" s="57" t="n"/>
      <c r="O1033" s="56" t="n"/>
      <c r="P1033" s="56" t="n"/>
      <c r="Q1033" s="56" t="n"/>
      <c r="R1033" s="56" t="n"/>
      <c r="S1033" s="56" t="n"/>
      <c r="T1033" s="56" t="n"/>
      <c r="U1033" s="56" t="n"/>
      <c r="V1033" s="56" t="n"/>
      <c r="W1033" s="56" t="n"/>
      <c r="X1033" s="56" t="n"/>
    </row>
    <row r="1034">
      <c r="A1034" s="67" t="n">
        <v>46195</v>
      </c>
      <c r="B1034" s="55" t="inlineStr">
        <is>
          <t>NX8</t>
        </is>
      </c>
      <c r="C1034" s="56" t="n"/>
      <c r="D1034" s="56" t="n"/>
      <c r="E1034" s="56" t="n"/>
      <c r="F1034" s="56" t="n"/>
      <c r="G1034" s="56" t="n"/>
      <c r="H1034" s="56" t="n"/>
      <c r="I1034" s="56" t="n"/>
      <c r="J1034" s="56" t="n"/>
      <c r="K1034" s="56" t="n"/>
      <c r="L1034" s="56" t="n"/>
      <c r="M1034" s="56">
        <f>N1034-SUM(C1034:L1034)</f>
        <v/>
      </c>
      <c r="N1034" s="57" t="n"/>
      <c r="O1034" s="56" t="n"/>
      <c r="P1034" s="56" t="n"/>
      <c r="Q1034" s="56" t="n"/>
      <c r="R1034" s="56" t="n"/>
      <c r="S1034" s="56" t="n"/>
      <c r="T1034" s="56" t="n"/>
      <c r="U1034" s="56" t="n"/>
      <c r="V1034" s="56" t="n"/>
      <c r="W1034" s="56" t="n"/>
      <c r="X1034" s="56" t="n"/>
    </row>
    <row r="1035">
      <c r="A1035" s="67" t="n">
        <v>46196</v>
      </c>
      <c r="B1035" s="55" t="inlineStr">
        <is>
          <t>NX8</t>
        </is>
      </c>
      <c r="C1035" s="56" t="n"/>
      <c r="D1035" s="56" t="n"/>
      <c r="E1035" s="56" t="n"/>
      <c r="F1035" s="56" t="n"/>
      <c r="G1035" s="56" t="n"/>
      <c r="H1035" s="56" t="n"/>
      <c r="I1035" s="56" t="n"/>
      <c r="J1035" s="56" t="n"/>
      <c r="K1035" s="56" t="n"/>
      <c r="L1035" s="56" t="n"/>
      <c r="M1035" s="56">
        <f>N1035-SUM(C1035:L1035)</f>
        <v/>
      </c>
      <c r="N1035" s="57" t="n"/>
      <c r="O1035" s="56" t="n"/>
      <c r="P1035" s="56" t="n"/>
      <c r="Q1035" s="56" t="n"/>
      <c r="R1035" s="56" t="n"/>
      <c r="S1035" s="56" t="n"/>
      <c r="T1035" s="56" t="n"/>
      <c r="U1035" s="56" t="n"/>
      <c r="V1035" s="56" t="n"/>
      <c r="W1035" s="56" t="n"/>
      <c r="X1035" s="56" t="n"/>
    </row>
    <row r="1036">
      <c r="A1036" s="67" t="n">
        <v>46197</v>
      </c>
      <c r="B1036" s="55" t="inlineStr">
        <is>
          <t>NX8</t>
        </is>
      </c>
      <c r="C1036" s="56" t="n"/>
      <c r="D1036" s="56" t="n"/>
      <c r="E1036" s="56" t="n"/>
      <c r="F1036" s="56" t="n"/>
      <c r="G1036" s="56" t="n"/>
      <c r="H1036" s="56" t="n"/>
      <c r="I1036" s="56" t="n"/>
      <c r="J1036" s="56" t="n"/>
      <c r="K1036" s="56" t="n"/>
      <c r="L1036" s="56" t="n"/>
      <c r="M1036" s="56">
        <f>N1036-SUM(C1036:L1036)</f>
        <v/>
      </c>
      <c r="N1036" s="57" t="n"/>
      <c r="O1036" s="56" t="n"/>
      <c r="P1036" s="56" t="n"/>
      <c r="Q1036" s="56" t="n"/>
      <c r="R1036" s="56" t="n"/>
      <c r="S1036" s="56" t="n"/>
      <c r="T1036" s="56" t="n"/>
      <c r="U1036" s="56" t="n"/>
      <c r="V1036" s="56" t="n"/>
      <c r="W1036" s="56" t="n"/>
      <c r="X1036" s="56" t="n"/>
    </row>
    <row r="1037">
      <c r="A1037" s="67" t="n">
        <v>46198</v>
      </c>
      <c r="B1037" s="55" t="inlineStr">
        <is>
          <t>NX8</t>
        </is>
      </c>
      <c r="C1037" s="56" t="n"/>
      <c r="D1037" s="56" t="n"/>
      <c r="E1037" s="56" t="n"/>
      <c r="F1037" s="56" t="n"/>
      <c r="G1037" s="56" t="n"/>
      <c r="H1037" s="56" t="n"/>
      <c r="I1037" s="56" t="n"/>
      <c r="J1037" s="56" t="n"/>
      <c r="K1037" s="56" t="n"/>
      <c r="L1037" s="56" t="n"/>
      <c r="M1037" s="56">
        <f>N1037-SUM(C1037:L1037)</f>
        <v/>
      </c>
      <c r="N1037" s="57" t="n"/>
      <c r="O1037" s="56" t="n"/>
      <c r="P1037" s="56" t="n"/>
      <c r="Q1037" s="56" t="n"/>
      <c r="R1037" s="56" t="n"/>
      <c r="S1037" s="56" t="n"/>
      <c r="T1037" s="56" t="n"/>
      <c r="U1037" s="56" t="n"/>
      <c r="V1037" s="56" t="n"/>
      <c r="W1037" s="56" t="n"/>
      <c r="X1037" s="56" t="n"/>
    </row>
    <row r="1038">
      <c r="A1038" s="67" t="n">
        <v>46199</v>
      </c>
      <c r="B1038" s="55" t="inlineStr">
        <is>
          <t>NX8</t>
        </is>
      </c>
      <c r="C1038" s="56" t="n"/>
      <c r="D1038" s="56" t="n"/>
      <c r="E1038" s="56" t="n"/>
      <c r="F1038" s="56" t="n"/>
      <c r="G1038" s="56" t="n"/>
      <c r="H1038" s="56" t="n"/>
      <c r="I1038" s="56" t="n"/>
      <c r="J1038" s="56" t="n"/>
      <c r="K1038" s="56" t="n"/>
      <c r="L1038" s="56" t="n"/>
      <c r="M1038" s="56">
        <f>N1038-SUM(C1038:L1038)</f>
        <v/>
      </c>
      <c r="N1038" s="57" t="n"/>
      <c r="O1038" s="56" t="n"/>
      <c r="P1038" s="56" t="n"/>
      <c r="Q1038" s="56" t="n"/>
      <c r="R1038" s="56" t="n"/>
      <c r="S1038" s="56" t="n"/>
      <c r="T1038" s="56" t="n"/>
      <c r="U1038" s="56" t="n"/>
      <c r="V1038" s="56" t="n"/>
      <c r="W1038" s="56" t="n"/>
      <c r="X1038" s="56" t="n"/>
    </row>
    <row r="1039">
      <c r="A1039" s="67" t="n">
        <v>46200</v>
      </c>
      <c r="B1039" s="55" t="inlineStr">
        <is>
          <t>NX8</t>
        </is>
      </c>
      <c r="C1039" s="56" t="n"/>
      <c r="D1039" s="56" t="n"/>
      <c r="E1039" s="56" t="n"/>
      <c r="F1039" s="56" t="n"/>
      <c r="G1039" s="56" t="n"/>
      <c r="H1039" s="56" t="n"/>
      <c r="I1039" s="56" t="n"/>
      <c r="J1039" s="56" t="n"/>
      <c r="K1039" s="56" t="n"/>
      <c r="L1039" s="56" t="n"/>
      <c r="M1039" s="56">
        <f>N1039-SUM(C1039:L1039)</f>
        <v/>
      </c>
      <c r="N1039" s="57" t="n"/>
      <c r="O1039" s="56" t="n"/>
      <c r="P1039" s="56" t="n"/>
      <c r="Q1039" s="56" t="n"/>
      <c r="R1039" s="56" t="n"/>
      <c r="S1039" s="56" t="n"/>
      <c r="T1039" s="56" t="n"/>
      <c r="U1039" s="56" t="n"/>
      <c r="V1039" s="56" t="n"/>
      <c r="W1039" s="56" t="n"/>
      <c r="X1039" s="56" t="n"/>
    </row>
    <row r="1040">
      <c r="A1040" s="67" t="n">
        <v>46201</v>
      </c>
      <c r="B1040" s="55" t="inlineStr">
        <is>
          <t>NX8</t>
        </is>
      </c>
      <c r="C1040" s="56" t="n"/>
      <c r="D1040" s="56" t="n"/>
      <c r="E1040" s="56" t="n"/>
      <c r="F1040" s="56" t="n"/>
      <c r="G1040" s="56" t="n"/>
      <c r="H1040" s="56" t="n"/>
      <c r="I1040" s="56" t="n"/>
      <c r="J1040" s="56" t="n"/>
      <c r="K1040" s="56" t="n"/>
      <c r="L1040" s="56" t="n"/>
      <c r="M1040" s="56">
        <f>N1040-SUM(C1040:L1040)</f>
        <v/>
      </c>
      <c r="N1040" s="57" t="n"/>
      <c r="O1040" s="56" t="n"/>
      <c r="P1040" s="56" t="n"/>
      <c r="Q1040" s="56" t="n"/>
      <c r="R1040" s="56" t="n"/>
      <c r="S1040" s="56" t="n"/>
      <c r="T1040" s="56" t="n"/>
      <c r="U1040" s="56" t="n"/>
      <c r="V1040" s="56" t="n"/>
      <c r="W1040" s="56" t="n"/>
      <c r="X1040" s="56" t="n"/>
    </row>
    <row r="1041">
      <c r="A1041" s="67" t="n">
        <v>46202</v>
      </c>
      <c r="B1041" s="55" t="inlineStr">
        <is>
          <t>NX8</t>
        </is>
      </c>
      <c r="C1041" s="56" t="n"/>
      <c r="D1041" s="56" t="n"/>
      <c r="E1041" s="56" t="n"/>
      <c r="F1041" s="56" t="n"/>
      <c r="G1041" s="56" t="n"/>
      <c r="H1041" s="56" t="n"/>
      <c r="I1041" s="56" t="n"/>
      <c r="J1041" s="56" t="n"/>
      <c r="K1041" s="56" t="n"/>
      <c r="L1041" s="56" t="n"/>
      <c r="M1041" s="56">
        <f>N1041-SUM(C1041:L1041)</f>
        <v/>
      </c>
      <c r="N1041" s="57" t="n"/>
      <c r="O1041" s="56" t="n"/>
      <c r="P1041" s="56" t="n"/>
      <c r="Q1041" s="56" t="n"/>
      <c r="R1041" s="56" t="n"/>
      <c r="S1041" s="56" t="n"/>
      <c r="T1041" s="56" t="n"/>
      <c r="U1041" s="56" t="n"/>
      <c r="V1041" s="56" t="n"/>
      <c r="W1041" s="56" t="n"/>
      <c r="X1041" s="56" t="n"/>
    </row>
    <row r="1042">
      <c r="A1042" s="67" t="n">
        <v>46203</v>
      </c>
      <c r="B1042" s="55" t="inlineStr">
        <is>
          <t>NX8</t>
        </is>
      </c>
      <c r="C1042" s="56" t="n"/>
      <c r="D1042" s="56" t="n"/>
      <c r="E1042" s="56" t="n"/>
      <c r="F1042" s="56" t="n"/>
      <c r="G1042" s="56" t="n"/>
      <c r="H1042" s="56" t="n"/>
      <c r="I1042" s="56" t="n"/>
      <c r="J1042" s="56" t="n"/>
      <c r="K1042" s="56" t="n"/>
      <c r="L1042" s="56" t="n"/>
      <c r="M1042" s="56">
        <f>N1042-SUM(C1042:L1042)</f>
        <v/>
      </c>
      <c r="N1042" s="57" t="n"/>
      <c r="O1042" s="56" t="n"/>
      <c r="P1042" s="56" t="n"/>
      <c r="Q1042" s="56" t="n"/>
      <c r="R1042" s="56" t="n"/>
      <c r="S1042" s="56" t="n"/>
      <c r="T1042" s="56" t="n"/>
      <c r="U1042" s="56" t="n"/>
      <c r="V1042" s="56" t="n"/>
      <c r="W1042" s="56" t="n"/>
      <c r="X1042" s="56" t="n"/>
    </row>
    <row r="1043">
      <c r="A1043" s="67" t="n">
        <v>46204</v>
      </c>
      <c r="B1043" s="55" t="inlineStr">
        <is>
          <t>NX8</t>
        </is>
      </c>
      <c r="C1043" s="56" t="n"/>
      <c r="D1043" s="56" t="n"/>
      <c r="E1043" s="56" t="n"/>
      <c r="F1043" s="56" t="n"/>
      <c r="G1043" s="56" t="n"/>
      <c r="H1043" s="56" t="n"/>
      <c r="I1043" s="56" t="n"/>
      <c r="J1043" s="56" t="n"/>
      <c r="K1043" s="56" t="n"/>
      <c r="L1043" s="56" t="n"/>
      <c r="M1043" s="56">
        <f>N1043-SUM(C1043:L1043)</f>
        <v/>
      </c>
      <c r="N1043" s="57" t="n"/>
      <c r="O1043" s="56" t="n"/>
      <c r="P1043" s="56" t="n"/>
      <c r="Q1043" s="56" t="n"/>
      <c r="R1043" s="56" t="n"/>
      <c r="S1043" s="56" t="n"/>
      <c r="T1043" s="56" t="n"/>
      <c r="U1043" s="56" t="n"/>
      <c r="V1043" s="56" t="n"/>
      <c r="W1043" s="56" t="n"/>
      <c r="X1043" s="56" t="n"/>
    </row>
    <row r="1044">
      <c r="A1044" s="67" t="n">
        <v>46205</v>
      </c>
      <c r="B1044" s="55" t="inlineStr">
        <is>
          <t>NX8</t>
        </is>
      </c>
      <c r="C1044" s="56" t="n"/>
      <c r="D1044" s="56" t="n"/>
      <c r="E1044" s="56" t="n"/>
      <c r="F1044" s="56" t="n"/>
      <c r="G1044" s="56" t="n"/>
      <c r="H1044" s="56" t="n"/>
      <c r="I1044" s="56" t="n"/>
      <c r="J1044" s="56" t="n"/>
      <c r="K1044" s="56" t="n"/>
      <c r="L1044" s="56" t="n"/>
      <c r="M1044" s="56">
        <f>N1044-SUM(C1044:L1044)</f>
        <v/>
      </c>
      <c r="N1044" s="57" t="n"/>
      <c r="O1044" s="56" t="n"/>
      <c r="P1044" s="56" t="n"/>
      <c r="Q1044" s="56" t="n"/>
      <c r="R1044" s="56" t="n"/>
      <c r="S1044" s="56" t="n"/>
      <c r="T1044" s="56" t="n"/>
      <c r="U1044" s="56" t="n"/>
      <c r="V1044" s="56" t="n"/>
      <c r="W1044" s="56" t="n"/>
      <c r="X1044" s="56" t="n"/>
    </row>
    <row r="1045">
      <c r="A1045" s="67" t="n">
        <v>46206</v>
      </c>
      <c r="B1045" s="55" t="inlineStr">
        <is>
          <t>NX8</t>
        </is>
      </c>
      <c r="C1045" s="56" t="n"/>
      <c r="D1045" s="56" t="n"/>
      <c r="E1045" s="56" t="n"/>
      <c r="F1045" s="56" t="n"/>
      <c r="G1045" s="56" t="n"/>
      <c r="H1045" s="56" t="n"/>
      <c r="I1045" s="56" t="n"/>
      <c r="J1045" s="56" t="n"/>
      <c r="K1045" s="56" t="n"/>
      <c r="L1045" s="56" t="n"/>
      <c r="M1045" s="56">
        <f>N1045-SUM(C1045:L1045)</f>
        <v/>
      </c>
      <c r="N1045" s="57" t="n"/>
      <c r="O1045" s="56" t="n"/>
      <c r="P1045" s="56" t="n"/>
      <c r="Q1045" s="56" t="n"/>
      <c r="R1045" s="56" t="n"/>
      <c r="S1045" s="56" t="n"/>
      <c r="T1045" s="56" t="n"/>
      <c r="U1045" s="56" t="n"/>
      <c r="V1045" s="56" t="n"/>
      <c r="W1045" s="56" t="n"/>
      <c r="X1045" s="56" t="n"/>
    </row>
    <row r="1046">
      <c r="A1046" s="67" t="n">
        <v>46207</v>
      </c>
      <c r="B1046" s="55" t="inlineStr">
        <is>
          <t>NX8</t>
        </is>
      </c>
      <c r="C1046" s="56" t="n"/>
      <c r="D1046" s="56" t="n"/>
      <c r="E1046" s="56" t="n"/>
      <c r="F1046" s="56" t="n"/>
      <c r="G1046" s="56" t="n"/>
      <c r="H1046" s="56" t="n"/>
      <c r="I1046" s="56" t="n"/>
      <c r="J1046" s="56" t="n"/>
      <c r="K1046" s="56" t="n"/>
      <c r="L1046" s="56" t="n"/>
      <c r="M1046" s="56">
        <f>N1046-SUM(C1046:L1046)</f>
        <v/>
      </c>
      <c r="N1046" s="57" t="n"/>
      <c r="O1046" s="56" t="n"/>
      <c r="P1046" s="56" t="n"/>
      <c r="Q1046" s="56" t="n"/>
      <c r="R1046" s="56" t="n"/>
      <c r="S1046" s="56" t="n"/>
      <c r="T1046" s="56" t="n"/>
      <c r="U1046" s="56" t="n"/>
      <c r="V1046" s="56" t="n"/>
      <c r="W1046" s="56" t="n"/>
      <c r="X1046" s="56" t="n"/>
    </row>
    <row r="1047">
      <c r="A1047" s="67" t="n">
        <v>46208</v>
      </c>
      <c r="B1047" s="55" t="inlineStr">
        <is>
          <t>NX8</t>
        </is>
      </c>
      <c r="C1047" s="56" t="n"/>
      <c r="D1047" s="56" t="n"/>
      <c r="E1047" s="56" t="n"/>
      <c r="F1047" s="56" t="n"/>
      <c r="G1047" s="56" t="n"/>
      <c r="H1047" s="56" t="n"/>
      <c r="I1047" s="56" t="n"/>
      <c r="J1047" s="56" t="n"/>
      <c r="K1047" s="56" t="n"/>
      <c r="L1047" s="56" t="n"/>
      <c r="M1047" s="56">
        <f>N1047-SUM(C1047:L1047)</f>
        <v/>
      </c>
      <c r="N1047" s="57" t="n"/>
      <c r="O1047" s="56" t="n"/>
      <c r="P1047" s="56" t="n"/>
      <c r="Q1047" s="56" t="n"/>
      <c r="R1047" s="56" t="n"/>
      <c r="S1047" s="56" t="n"/>
      <c r="T1047" s="56" t="n"/>
      <c r="U1047" s="56" t="n"/>
      <c r="V1047" s="56" t="n"/>
      <c r="W1047" s="56" t="n"/>
      <c r="X1047" s="56" t="n"/>
    </row>
    <row r="1048">
      <c r="A1048" s="67" t="n">
        <v>46209</v>
      </c>
      <c r="B1048" s="55" t="inlineStr">
        <is>
          <t>NX8</t>
        </is>
      </c>
      <c r="C1048" s="56" t="n"/>
      <c r="D1048" s="56" t="n"/>
      <c r="E1048" s="56" t="n"/>
      <c r="F1048" s="56" t="n"/>
      <c r="G1048" s="56" t="n"/>
      <c r="H1048" s="56" t="n"/>
      <c r="I1048" s="56" t="n"/>
      <c r="J1048" s="56" t="n"/>
      <c r="K1048" s="56" t="n"/>
      <c r="L1048" s="56" t="n"/>
      <c r="M1048" s="56">
        <f>N1048-SUM(C1048:L1048)</f>
        <v/>
      </c>
      <c r="N1048" s="57" t="n"/>
      <c r="O1048" s="56" t="n"/>
      <c r="P1048" s="56" t="n"/>
      <c r="Q1048" s="56" t="n"/>
      <c r="R1048" s="56" t="n"/>
      <c r="S1048" s="56" t="n"/>
      <c r="T1048" s="56" t="n"/>
      <c r="U1048" s="56" t="n"/>
      <c r="V1048" s="56" t="n"/>
      <c r="W1048" s="56" t="n"/>
      <c r="X1048" s="56" t="n"/>
    </row>
    <row r="1049">
      <c r="A1049" s="67" t="n">
        <v>46210</v>
      </c>
      <c r="B1049" s="55" t="inlineStr">
        <is>
          <t>NX8</t>
        </is>
      </c>
      <c r="C1049" s="56" t="n"/>
      <c r="D1049" s="56" t="n"/>
      <c r="E1049" s="56" t="n"/>
      <c r="F1049" s="56" t="n"/>
      <c r="G1049" s="56" t="n"/>
      <c r="H1049" s="56" t="n"/>
      <c r="I1049" s="56" t="n"/>
      <c r="J1049" s="56" t="n"/>
      <c r="K1049" s="56" t="n"/>
      <c r="L1049" s="56" t="n"/>
      <c r="M1049" s="56">
        <f>N1049-SUM(C1049:L1049)</f>
        <v/>
      </c>
      <c r="N1049" s="57" t="n"/>
      <c r="O1049" s="56" t="n"/>
      <c r="P1049" s="56" t="n"/>
      <c r="Q1049" s="56" t="n"/>
      <c r="R1049" s="56" t="n"/>
      <c r="S1049" s="56" t="n"/>
      <c r="T1049" s="56" t="n"/>
      <c r="U1049" s="56" t="n"/>
      <c r="V1049" s="56" t="n"/>
      <c r="W1049" s="56" t="n"/>
      <c r="X1049" s="56" t="n"/>
    </row>
    <row r="1050">
      <c r="A1050" s="67" t="n">
        <v>46211</v>
      </c>
      <c r="B1050" s="55" t="inlineStr">
        <is>
          <t>NX8</t>
        </is>
      </c>
      <c r="C1050" s="56" t="n"/>
      <c r="D1050" s="56" t="n"/>
      <c r="E1050" s="56" t="n"/>
      <c r="F1050" s="56" t="n"/>
      <c r="G1050" s="56" t="n"/>
      <c r="H1050" s="56" t="n"/>
      <c r="I1050" s="56" t="n"/>
      <c r="J1050" s="56" t="n"/>
      <c r="K1050" s="56" t="n"/>
      <c r="L1050" s="56" t="n"/>
      <c r="M1050" s="56">
        <f>N1050-SUM(C1050:L1050)</f>
        <v/>
      </c>
      <c r="N1050" s="57" t="n"/>
      <c r="O1050" s="56" t="n"/>
      <c r="P1050" s="56" t="n"/>
      <c r="Q1050" s="56" t="n"/>
      <c r="R1050" s="56" t="n"/>
      <c r="S1050" s="56" t="n"/>
      <c r="T1050" s="56" t="n"/>
      <c r="U1050" s="56" t="n"/>
      <c r="V1050" s="56" t="n"/>
      <c r="W1050" s="56" t="n"/>
      <c r="X1050" s="56" t="n"/>
    </row>
    <row r="1051">
      <c r="A1051" s="67" t="n">
        <v>46212</v>
      </c>
      <c r="B1051" s="55" t="inlineStr">
        <is>
          <t>NX8</t>
        </is>
      </c>
      <c r="C1051" s="56" t="n"/>
      <c r="D1051" s="56" t="n"/>
      <c r="E1051" s="56" t="n"/>
      <c r="F1051" s="56" t="n"/>
      <c r="G1051" s="56" t="n"/>
      <c r="H1051" s="56" t="n"/>
      <c r="I1051" s="56" t="n"/>
      <c r="J1051" s="56" t="n"/>
      <c r="K1051" s="56" t="n"/>
      <c r="L1051" s="56" t="n"/>
      <c r="M1051" s="56">
        <f>N1051-SUM(C1051:L1051)</f>
        <v/>
      </c>
      <c r="N1051" s="57" t="n"/>
      <c r="O1051" s="56" t="n"/>
      <c r="P1051" s="56" t="n"/>
      <c r="Q1051" s="56" t="n"/>
      <c r="R1051" s="56" t="n"/>
      <c r="S1051" s="56" t="n"/>
      <c r="T1051" s="56" t="n"/>
      <c r="U1051" s="56" t="n"/>
      <c r="V1051" s="56" t="n"/>
      <c r="W1051" s="56" t="n"/>
      <c r="X1051" s="56" t="n"/>
    </row>
    <row r="1052">
      <c r="A1052" s="67" t="n">
        <v>46213</v>
      </c>
      <c r="B1052" s="55" t="inlineStr">
        <is>
          <t>NX8</t>
        </is>
      </c>
      <c r="C1052" s="56" t="n"/>
      <c r="D1052" s="56" t="n"/>
      <c r="E1052" s="56" t="n"/>
      <c r="F1052" s="56" t="n"/>
      <c r="G1052" s="56" t="n"/>
      <c r="H1052" s="56" t="n"/>
      <c r="I1052" s="56" t="n"/>
      <c r="J1052" s="56" t="n"/>
      <c r="K1052" s="56" t="n"/>
      <c r="L1052" s="56" t="n"/>
      <c r="M1052" s="56">
        <f>N1052-SUM(C1052:L1052)</f>
        <v/>
      </c>
      <c r="N1052" s="57" t="n"/>
      <c r="O1052" s="56" t="n"/>
      <c r="P1052" s="56" t="n"/>
      <c r="Q1052" s="56" t="n"/>
      <c r="R1052" s="56" t="n"/>
      <c r="S1052" s="56" t="n"/>
      <c r="T1052" s="56" t="n"/>
      <c r="U1052" s="56" t="n"/>
      <c r="V1052" s="56" t="n"/>
      <c r="W1052" s="56" t="n"/>
      <c r="X1052" s="56" t="n"/>
    </row>
    <row r="1053">
      <c r="A1053" s="67" t="n">
        <v>46214</v>
      </c>
      <c r="B1053" s="55" t="inlineStr">
        <is>
          <t>NX8</t>
        </is>
      </c>
      <c r="C1053" s="56" t="n"/>
      <c r="D1053" s="56" t="n"/>
      <c r="E1053" s="56" t="n"/>
      <c r="F1053" s="56" t="n"/>
      <c r="G1053" s="56" t="n"/>
      <c r="H1053" s="56" t="n"/>
      <c r="I1053" s="56" t="n"/>
      <c r="J1053" s="56" t="n"/>
      <c r="K1053" s="56" t="n"/>
      <c r="L1053" s="56" t="n"/>
      <c r="M1053" s="56">
        <f>N1053-SUM(C1053:L1053)</f>
        <v/>
      </c>
      <c r="N1053" s="57" t="n"/>
      <c r="O1053" s="56" t="n"/>
      <c r="P1053" s="56" t="n"/>
      <c r="Q1053" s="56" t="n"/>
      <c r="R1053" s="56" t="n"/>
      <c r="S1053" s="56" t="n"/>
      <c r="T1053" s="56" t="n"/>
      <c r="U1053" s="56" t="n"/>
      <c r="V1053" s="56" t="n"/>
      <c r="W1053" s="56" t="n"/>
      <c r="X1053" s="56" t="n"/>
    </row>
    <row r="1054">
      <c r="A1054" s="67" t="n">
        <v>46215</v>
      </c>
      <c r="B1054" s="55" t="inlineStr">
        <is>
          <t>NX8</t>
        </is>
      </c>
      <c r="C1054" s="56" t="n"/>
      <c r="D1054" s="56" t="n"/>
      <c r="E1054" s="56" t="n"/>
      <c r="F1054" s="56" t="n"/>
      <c r="G1054" s="56" t="n"/>
      <c r="H1054" s="56" t="n"/>
      <c r="I1054" s="56" t="n"/>
      <c r="J1054" s="56" t="n"/>
      <c r="K1054" s="56" t="n"/>
      <c r="L1054" s="56" t="n"/>
      <c r="M1054" s="56">
        <f>N1054-SUM(C1054:L1054)</f>
        <v/>
      </c>
      <c r="N1054" s="57" t="n"/>
      <c r="O1054" s="56" t="n"/>
      <c r="P1054" s="56" t="n"/>
      <c r="Q1054" s="56" t="n"/>
      <c r="R1054" s="56" t="n"/>
      <c r="S1054" s="56" t="n"/>
      <c r="T1054" s="56" t="n"/>
      <c r="U1054" s="56" t="n"/>
      <c r="V1054" s="56" t="n"/>
      <c r="W1054" s="56" t="n"/>
      <c r="X1054" s="56" t="n"/>
    </row>
    <row r="1055">
      <c r="A1055" s="67" t="n">
        <v>46216</v>
      </c>
      <c r="B1055" s="55" t="inlineStr">
        <is>
          <t>NX8</t>
        </is>
      </c>
      <c r="C1055" s="56" t="n"/>
      <c r="D1055" s="56" t="n"/>
      <c r="E1055" s="56" t="n"/>
      <c r="F1055" s="56" t="n"/>
      <c r="G1055" s="56" t="n"/>
      <c r="H1055" s="56" t="n"/>
      <c r="I1055" s="56" t="n"/>
      <c r="J1055" s="56" t="n"/>
      <c r="K1055" s="56" t="n"/>
      <c r="L1055" s="56" t="n"/>
      <c r="M1055" s="56">
        <f>N1055-SUM(C1055:L1055)</f>
        <v/>
      </c>
      <c r="N1055" s="57" t="n"/>
      <c r="O1055" s="56" t="n"/>
      <c r="P1055" s="56" t="n"/>
      <c r="Q1055" s="56" t="n"/>
      <c r="R1055" s="56" t="n"/>
      <c r="S1055" s="56" t="n"/>
      <c r="T1055" s="56" t="n"/>
      <c r="U1055" s="56" t="n"/>
      <c r="V1055" s="56" t="n"/>
      <c r="W1055" s="56" t="n"/>
      <c r="X1055" s="56" t="n"/>
    </row>
    <row r="1056">
      <c r="A1056" s="67" t="n">
        <v>46217</v>
      </c>
      <c r="B1056" s="55" t="inlineStr">
        <is>
          <t>NX8</t>
        </is>
      </c>
      <c r="C1056" s="56" t="n"/>
      <c r="D1056" s="56" t="n"/>
      <c r="E1056" s="56" t="n"/>
      <c r="F1056" s="56" t="n"/>
      <c r="G1056" s="56" t="n"/>
      <c r="H1056" s="56" t="n"/>
      <c r="I1056" s="56" t="n"/>
      <c r="J1056" s="56" t="n"/>
      <c r="K1056" s="56" t="n"/>
      <c r="L1056" s="56" t="n"/>
      <c r="M1056" s="56">
        <f>N1056-SUM(C1056:L1056)</f>
        <v/>
      </c>
      <c r="N1056" s="57" t="n"/>
      <c r="O1056" s="56" t="n"/>
      <c r="P1056" s="56" t="n"/>
      <c r="Q1056" s="56" t="n"/>
      <c r="R1056" s="56" t="n"/>
      <c r="S1056" s="56" t="n"/>
      <c r="T1056" s="56" t="n"/>
      <c r="U1056" s="56" t="n"/>
      <c r="V1056" s="56" t="n"/>
      <c r="W1056" s="56" t="n"/>
      <c r="X1056" s="56" t="n"/>
    </row>
    <row r="1057">
      <c r="A1057" s="67" t="n">
        <v>46218</v>
      </c>
      <c r="B1057" s="55" t="inlineStr">
        <is>
          <t>NX8</t>
        </is>
      </c>
      <c r="C1057" s="56" t="n"/>
      <c r="D1057" s="56" t="n"/>
      <c r="E1057" s="56" t="n"/>
      <c r="F1057" s="56" t="n"/>
      <c r="G1057" s="56" t="n"/>
      <c r="H1057" s="56" t="n"/>
      <c r="I1057" s="56" t="n"/>
      <c r="J1057" s="56" t="n"/>
      <c r="K1057" s="56" t="n"/>
      <c r="L1057" s="56" t="n"/>
      <c r="M1057" s="56">
        <f>N1057-SUM(C1057:L1057)</f>
        <v/>
      </c>
      <c r="N1057" s="57" t="n"/>
      <c r="O1057" s="56" t="n"/>
      <c r="P1057" s="56" t="n"/>
      <c r="Q1057" s="56" t="n"/>
      <c r="R1057" s="56" t="n"/>
      <c r="S1057" s="56" t="n"/>
      <c r="T1057" s="56" t="n"/>
      <c r="U1057" s="56" t="n"/>
      <c r="V1057" s="56" t="n"/>
      <c r="W1057" s="56" t="n"/>
      <c r="X1057" s="56" t="n"/>
    </row>
    <row r="1058">
      <c r="A1058" s="67" t="n">
        <v>46219</v>
      </c>
      <c r="B1058" s="55" t="inlineStr">
        <is>
          <t>NX8</t>
        </is>
      </c>
      <c r="C1058" s="56" t="n"/>
      <c r="D1058" s="56" t="n"/>
      <c r="E1058" s="56" t="n"/>
      <c r="F1058" s="56" t="n"/>
      <c r="G1058" s="56" t="n"/>
      <c r="H1058" s="56" t="n"/>
      <c r="I1058" s="56" t="n"/>
      <c r="J1058" s="56" t="n"/>
      <c r="K1058" s="56" t="n"/>
      <c r="L1058" s="56" t="n"/>
      <c r="M1058" s="56">
        <f>N1058-SUM(C1058:L1058)</f>
        <v/>
      </c>
      <c r="N1058" s="57" t="n"/>
      <c r="O1058" s="56" t="n"/>
      <c r="P1058" s="56" t="n"/>
      <c r="Q1058" s="56" t="n"/>
      <c r="R1058" s="56" t="n"/>
      <c r="S1058" s="56" t="n"/>
      <c r="T1058" s="56" t="n"/>
      <c r="U1058" s="56" t="n"/>
      <c r="V1058" s="56" t="n"/>
      <c r="W1058" s="56" t="n"/>
      <c r="X1058" s="56" t="n"/>
    </row>
    <row r="1059">
      <c r="A1059" s="67" t="n">
        <v>46220</v>
      </c>
      <c r="B1059" s="55" t="inlineStr">
        <is>
          <t>NX8</t>
        </is>
      </c>
      <c r="C1059" s="56" t="n"/>
      <c r="D1059" s="56" t="n"/>
      <c r="E1059" s="56" t="n"/>
      <c r="F1059" s="56" t="n"/>
      <c r="G1059" s="56" t="n"/>
      <c r="H1059" s="56" t="n"/>
      <c r="I1059" s="56" t="n"/>
      <c r="J1059" s="56" t="n"/>
      <c r="K1059" s="56" t="n"/>
      <c r="L1059" s="56" t="n"/>
      <c r="M1059" s="56">
        <f>N1059-SUM(C1059:L1059)</f>
        <v/>
      </c>
      <c r="N1059" s="57" t="n"/>
      <c r="O1059" s="56" t="n"/>
      <c r="P1059" s="56" t="n"/>
      <c r="Q1059" s="56" t="n"/>
      <c r="R1059" s="56" t="n"/>
      <c r="S1059" s="56" t="n"/>
      <c r="T1059" s="56" t="n"/>
      <c r="U1059" s="56" t="n"/>
      <c r="V1059" s="56" t="n"/>
      <c r="W1059" s="56" t="n"/>
      <c r="X1059" s="56" t="n"/>
    </row>
    <row r="1060">
      <c r="A1060" s="67" t="n">
        <v>46221</v>
      </c>
      <c r="B1060" s="55" t="inlineStr">
        <is>
          <t>NX8</t>
        </is>
      </c>
      <c r="C1060" s="56" t="n"/>
      <c r="D1060" s="56" t="n"/>
      <c r="E1060" s="56" t="n"/>
      <c r="F1060" s="56" t="n"/>
      <c r="G1060" s="56" t="n"/>
      <c r="H1060" s="56" t="n"/>
      <c r="I1060" s="56" t="n"/>
      <c r="J1060" s="56" t="n"/>
      <c r="K1060" s="56" t="n"/>
      <c r="L1060" s="56" t="n"/>
      <c r="M1060" s="56">
        <f>N1060-SUM(C1060:L1060)</f>
        <v/>
      </c>
      <c r="N1060" s="57" t="n"/>
      <c r="O1060" s="56" t="n"/>
      <c r="P1060" s="56" t="n"/>
      <c r="Q1060" s="56" t="n"/>
      <c r="R1060" s="56" t="n"/>
      <c r="S1060" s="56" t="n"/>
      <c r="T1060" s="56" t="n"/>
      <c r="U1060" s="56" t="n"/>
      <c r="V1060" s="56" t="n"/>
      <c r="W1060" s="56" t="n"/>
      <c r="X1060" s="56" t="n"/>
    </row>
    <row r="1061">
      <c r="A1061" s="67" t="n">
        <v>46222</v>
      </c>
      <c r="B1061" s="55" t="inlineStr">
        <is>
          <t>NX8</t>
        </is>
      </c>
      <c r="C1061" s="56" t="n"/>
      <c r="D1061" s="56" t="n"/>
      <c r="E1061" s="56" t="n"/>
      <c r="F1061" s="56" t="n"/>
      <c r="G1061" s="56" t="n"/>
      <c r="H1061" s="56" t="n"/>
      <c r="I1061" s="56" t="n"/>
      <c r="J1061" s="56" t="n"/>
      <c r="K1061" s="56" t="n"/>
      <c r="L1061" s="56" t="n"/>
      <c r="M1061" s="56">
        <f>N1061-SUM(C1061:L1061)</f>
        <v/>
      </c>
      <c r="N1061" s="57" t="n"/>
      <c r="O1061" s="56" t="n"/>
      <c r="P1061" s="56" t="n"/>
      <c r="Q1061" s="56" t="n"/>
      <c r="R1061" s="56" t="n"/>
      <c r="S1061" s="56" t="n"/>
      <c r="T1061" s="56" t="n"/>
      <c r="U1061" s="56" t="n"/>
      <c r="V1061" s="56" t="n"/>
      <c r="W1061" s="56" t="n"/>
      <c r="X1061" s="56" t="n"/>
    </row>
    <row r="1062">
      <c r="A1062" s="67" t="n">
        <v>46223</v>
      </c>
      <c r="B1062" s="55" t="inlineStr">
        <is>
          <t>NX8</t>
        </is>
      </c>
      <c r="C1062" s="56" t="n"/>
      <c r="D1062" s="56" t="n"/>
      <c r="E1062" s="56" t="n"/>
      <c r="F1062" s="56" t="n"/>
      <c r="G1062" s="56" t="n"/>
      <c r="H1062" s="56" t="n"/>
      <c r="I1062" s="56" t="n"/>
      <c r="J1062" s="56" t="n"/>
      <c r="K1062" s="56" t="n"/>
      <c r="L1062" s="56" t="n"/>
      <c r="M1062" s="56">
        <f>N1062-SUM(C1062:L1062)</f>
        <v/>
      </c>
      <c r="N1062" s="57" t="n"/>
      <c r="O1062" s="56" t="n"/>
      <c r="P1062" s="56" t="n"/>
      <c r="Q1062" s="56" t="n"/>
      <c r="R1062" s="56" t="n"/>
      <c r="S1062" s="56" t="n"/>
      <c r="T1062" s="56" t="n"/>
      <c r="U1062" s="56" t="n"/>
      <c r="V1062" s="56" t="n"/>
      <c r="W1062" s="56" t="n"/>
      <c r="X1062" s="56" t="n"/>
    </row>
    <row r="1063">
      <c r="A1063" s="67" t="n">
        <v>46224</v>
      </c>
      <c r="B1063" s="55" t="inlineStr">
        <is>
          <t>NX8</t>
        </is>
      </c>
      <c r="C1063" s="56" t="n"/>
      <c r="D1063" s="56" t="n"/>
      <c r="E1063" s="56" t="n"/>
      <c r="F1063" s="56" t="n"/>
      <c r="G1063" s="56" t="n"/>
      <c r="H1063" s="56" t="n"/>
      <c r="I1063" s="56" t="n"/>
      <c r="J1063" s="56" t="n"/>
      <c r="K1063" s="56" t="n"/>
      <c r="L1063" s="56" t="n"/>
      <c r="M1063" s="56">
        <f>N1063-SUM(C1063:L1063)</f>
        <v/>
      </c>
      <c r="N1063" s="57" t="n"/>
      <c r="O1063" s="56" t="n"/>
      <c r="P1063" s="56" t="n"/>
      <c r="Q1063" s="56" t="n"/>
      <c r="R1063" s="56" t="n"/>
      <c r="S1063" s="56" t="n"/>
      <c r="T1063" s="56" t="n"/>
      <c r="U1063" s="56" t="n"/>
      <c r="V1063" s="56" t="n"/>
      <c r="W1063" s="56" t="n"/>
      <c r="X1063" s="56" t="n"/>
    </row>
    <row r="1064">
      <c r="A1064" s="67" t="n">
        <v>46225</v>
      </c>
      <c r="B1064" s="55" t="inlineStr">
        <is>
          <t>NX8</t>
        </is>
      </c>
      <c r="C1064" s="56" t="n"/>
      <c r="D1064" s="56" t="n"/>
      <c r="E1064" s="56" t="n"/>
      <c r="F1064" s="56" t="n"/>
      <c r="G1064" s="56" t="n"/>
      <c r="H1064" s="56" t="n"/>
      <c r="I1064" s="56" t="n"/>
      <c r="J1064" s="56" t="n"/>
      <c r="K1064" s="56" t="n"/>
      <c r="L1064" s="56" t="n"/>
      <c r="M1064" s="56">
        <f>N1064-SUM(C1064:L1064)</f>
        <v/>
      </c>
      <c r="N1064" s="57" t="n"/>
      <c r="O1064" s="56" t="n"/>
      <c r="P1064" s="56" t="n"/>
      <c r="Q1064" s="56" t="n"/>
      <c r="R1064" s="56" t="n"/>
      <c r="S1064" s="56" t="n"/>
      <c r="T1064" s="56" t="n"/>
      <c r="U1064" s="56" t="n"/>
      <c r="V1064" s="56" t="n"/>
      <c r="W1064" s="56" t="n"/>
      <c r="X1064" s="56" t="n"/>
    </row>
    <row r="1065">
      <c r="A1065" s="67" t="n">
        <v>46226</v>
      </c>
      <c r="B1065" s="55" t="inlineStr">
        <is>
          <t>NX8</t>
        </is>
      </c>
      <c r="C1065" s="56" t="n"/>
      <c r="D1065" s="56" t="n"/>
      <c r="E1065" s="56" t="n"/>
      <c r="F1065" s="56" t="n"/>
      <c r="G1065" s="56" t="n"/>
      <c r="H1065" s="56" t="n"/>
      <c r="I1065" s="56" t="n"/>
      <c r="J1065" s="56" t="n"/>
      <c r="K1065" s="56" t="n"/>
      <c r="L1065" s="56" t="n"/>
      <c r="M1065" s="56">
        <f>N1065-SUM(C1065:L1065)</f>
        <v/>
      </c>
      <c r="N1065" s="57" t="n"/>
      <c r="O1065" s="56" t="n"/>
      <c r="P1065" s="56" t="n"/>
      <c r="Q1065" s="56" t="n"/>
      <c r="R1065" s="56" t="n"/>
      <c r="S1065" s="56" t="n"/>
      <c r="T1065" s="56" t="n"/>
      <c r="U1065" s="56" t="n"/>
      <c r="V1065" s="56" t="n"/>
      <c r="W1065" s="56" t="n"/>
      <c r="X1065" s="56" t="n"/>
    </row>
    <row r="1066">
      <c r="A1066" s="67" t="n">
        <v>46227</v>
      </c>
      <c r="B1066" s="55" t="inlineStr">
        <is>
          <t>NX8</t>
        </is>
      </c>
      <c r="C1066" s="56" t="n"/>
      <c r="D1066" s="56" t="n"/>
      <c r="E1066" s="56" t="n"/>
      <c r="F1066" s="56" t="n"/>
      <c r="G1066" s="56" t="n"/>
      <c r="H1066" s="56" t="n"/>
      <c r="I1066" s="56" t="n"/>
      <c r="J1066" s="56" t="n"/>
      <c r="K1066" s="56" t="n"/>
      <c r="L1066" s="56" t="n"/>
      <c r="M1066" s="56">
        <f>N1066-SUM(C1066:L1066)</f>
        <v/>
      </c>
      <c r="N1066" s="57" t="n"/>
      <c r="O1066" s="56" t="n"/>
      <c r="P1066" s="56" t="n"/>
      <c r="Q1066" s="56" t="n"/>
      <c r="R1066" s="56" t="n"/>
      <c r="S1066" s="56" t="n"/>
      <c r="T1066" s="56" t="n"/>
      <c r="U1066" s="56" t="n"/>
      <c r="V1066" s="56" t="n"/>
      <c r="W1066" s="56" t="n"/>
      <c r="X1066" s="56" t="n"/>
    </row>
    <row r="1067">
      <c r="A1067" s="67" t="n">
        <v>46228</v>
      </c>
      <c r="B1067" s="55" t="inlineStr">
        <is>
          <t>NX8</t>
        </is>
      </c>
      <c r="C1067" s="56" t="n"/>
      <c r="D1067" s="56" t="n"/>
      <c r="E1067" s="56" t="n"/>
      <c r="F1067" s="56" t="n"/>
      <c r="G1067" s="56" t="n"/>
      <c r="H1067" s="56" t="n"/>
      <c r="I1067" s="56" t="n"/>
      <c r="J1067" s="56" t="n"/>
      <c r="K1067" s="56" t="n"/>
      <c r="L1067" s="56" t="n"/>
      <c r="M1067" s="56">
        <f>N1067-SUM(C1067:L1067)</f>
        <v/>
      </c>
      <c r="N1067" s="57" t="n"/>
      <c r="O1067" s="56" t="n"/>
      <c r="P1067" s="56" t="n"/>
      <c r="Q1067" s="56" t="n"/>
      <c r="R1067" s="56" t="n"/>
      <c r="S1067" s="56" t="n"/>
      <c r="T1067" s="56" t="n"/>
      <c r="U1067" s="56" t="n"/>
      <c r="V1067" s="56" t="n"/>
      <c r="W1067" s="56" t="n"/>
      <c r="X1067" s="56" t="n"/>
    </row>
    <row r="1068">
      <c r="A1068" s="67" t="n">
        <v>46229</v>
      </c>
      <c r="B1068" s="55" t="inlineStr">
        <is>
          <t>NX8</t>
        </is>
      </c>
      <c r="C1068" s="56" t="n"/>
      <c r="D1068" s="56" t="n"/>
      <c r="E1068" s="56" t="n"/>
      <c r="F1068" s="56" t="n"/>
      <c r="G1068" s="56" t="n"/>
      <c r="H1068" s="56" t="n"/>
      <c r="I1068" s="56" t="n"/>
      <c r="J1068" s="56" t="n"/>
      <c r="K1068" s="56" t="n"/>
      <c r="L1068" s="56" t="n"/>
      <c r="M1068" s="56">
        <f>N1068-SUM(C1068:L1068)</f>
        <v/>
      </c>
      <c r="N1068" s="57" t="n"/>
      <c r="O1068" s="56" t="n"/>
      <c r="P1068" s="56" t="n"/>
      <c r="Q1068" s="56" t="n"/>
      <c r="R1068" s="56" t="n"/>
      <c r="S1068" s="56" t="n"/>
      <c r="T1068" s="56" t="n"/>
      <c r="U1068" s="56" t="n"/>
      <c r="V1068" s="56" t="n"/>
      <c r="W1068" s="56" t="n"/>
      <c r="X1068" s="56" t="n"/>
    </row>
    <row r="1069">
      <c r="A1069" s="67" t="n">
        <v>46230</v>
      </c>
      <c r="B1069" s="55" t="inlineStr">
        <is>
          <t>NX8</t>
        </is>
      </c>
      <c r="C1069" s="56" t="n"/>
      <c r="D1069" s="56" t="n"/>
      <c r="E1069" s="56" t="n"/>
      <c r="F1069" s="56" t="n"/>
      <c r="G1069" s="56" t="n"/>
      <c r="H1069" s="56" t="n"/>
      <c r="I1069" s="56" t="n"/>
      <c r="J1069" s="56" t="n"/>
      <c r="K1069" s="56" t="n"/>
      <c r="L1069" s="56" t="n"/>
      <c r="M1069" s="56">
        <f>N1069-SUM(C1069:L1069)</f>
        <v/>
      </c>
      <c r="N1069" s="57" t="n"/>
      <c r="O1069" s="56" t="n"/>
      <c r="P1069" s="56" t="n"/>
      <c r="Q1069" s="56" t="n"/>
      <c r="R1069" s="56" t="n"/>
      <c r="S1069" s="56" t="n"/>
      <c r="T1069" s="56" t="n"/>
      <c r="U1069" s="56" t="n"/>
      <c r="V1069" s="56" t="n"/>
      <c r="W1069" s="56" t="n"/>
      <c r="X1069" s="56" t="n"/>
    </row>
    <row r="1070">
      <c r="A1070" s="67" t="n">
        <v>46231</v>
      </c>
      <c r="B1070" s="55" t="inlineStr">
        <is>
          <t>NX8</t>
        </is>
      </c>
      <c r="C1070" s="56" t="n"/>
      <c r="D1070" s="56" t="n"/>
      <c r="E1070" s="56" t="n"/>
      <c r="F1070" s="56" t="n"/>
      <c r="G1070" s="56" t="n"/>
      <c r="H1070" s="56" t="n"/>
      <c r="I1070" s="56" t="n"/>
      <c r="J1070" s="56" t="n"/>
      <c r="K1070" s="56" t="n"/>
      <c r="L1070" s="56" t="n"/>
      <c r="M1070" s="56">
        <f>N1070-SUM(C1070:L1070)</f>
        <v/>
      </c>
      <c r="N1070" s="57" t="n"/>
      <c r="O1070" s="56" t="n"/>
      <c r="P1070" s="56" t="n"/>
      <c r="Q1070" s="56" t="n"/>
      <c r="R1070" s="56" t="n"/>
      <c r="S1070" s="56" t="n"/>
      <c r="T1070" s="56" t="n"/>
      <c r="U1070" s="56" t="n"/>
      <c r="V1070" s="56" t="n"/>
      <c r="W1070" s="56" t="n"/>
      <c r="X1070" s="56" t="n"/>
    </row>
    <row r="1071">
      <c r="A1071" s="67" t="n">
        <v>46232</v>
      </c>
      <c r="B1071" s="55" t="inlineStr">
        <is>
          <t>NX8</t>
        </is>
      </c>
      <c r="C1071" s="56" t="n"/>
      <c r="D1071" s="56" t="n"/>
      <c r="E1071" s="56" t="n"/>
      <c r="F1071" s="56" t="n"/>
      <c r="G1071" s="56" t="n"/>
      <c r="H1071" s="56" t="n"/>
      <c r="I1071" s="56" t="n"/>
      <c r="J1071" s="56" t="n"/>
      <c r="K1071" s="56" t="n"/>
      <c r="L1071" s="56" t="n"/>
      <c r="M1071" s="56">
        <f>N1071-SUM(C1071:L1071)</f>
        <v/>
      </c>
      <c r="N1071" s="57" t="n"/>
      <c r="O1071" s="56" t="n"/>
      <c r="P1071" s="56" t="n"/>
      <c r="Q1071" s="56" t="n"/>
      <c r="R1071" s="56" t="n"/>
      <c r="S1071" s="56" t="n"/>
      <c r="T1071" s="56" t="n"/>
      <c r="U1071" s="56" t="n"/>
      <c r="V1071" s="56" t="n"/>
      <c r="W1071" s="56" t="n"/>
      <c r="X1071" s="56" t="n"/>
    </row>
    <row r="1072">
      <c r="A1072" s="67" t="n">
        <v>46233</v>
      </c>
      <c r="B1072" s="55" t="inlineStr">
        <is>
          <t>NX8</t>
        </is>
      </c>
      <c r="C1072" s="56" t="n"/>
      <c r="D1072" s="56" t="n"/>
      <c r="E1072" s="56" t="n"/>
      <c r="F1072" s="56" t="n"/>
      <c r="G1072" s="56" t="n"/>
      <c r="H1072" s="56" t="n"/>
      <c r="I1072" s="56" t="n"/>
      <c r="J1072" s="56" t="n"/>
      <c r="K1072" s="56" t="n"/>
      <c r="L1072" s="56" t="n"/>
      <c r="M1072" s="56">
        <f>N1072-SUM(C1072:L1072)</f>
        <v/>
      </c>
      <c r="N1072" s="57" t="n"/>
      <c r="O1072" s="56" t="n"/>
      <c r="P1072" s="56" t="n"/>
      <c r="Q1072" s="56" t="n"/>
      <c r="R1072" s="56" t="n"/>
      <c r="S1072" s="56" t="n"/>
      <c r="T1072" s="56" t="n"/>
      <c r="U1072" s="56" t="n"/>
      <c r="V1072" s="56" t="n"/>
      <c r="W1072" s="56" t="n"/>
      <c r="X1072" s="56" t="n"/>
    </row>
    <row r="1073">
      <c r="A1073" s="67" t="n">
        <v>46234</v>
      </c>
      <c r="B1073" s="55" t="inlineStr">
        <is>
          <t>NX8</t>
        </is>
      </c>
      <c r="C1073" s="56" t="n"/>
      <c r="D1073" s="56" t="n"/>
      <c r="E1073" s="56" t="n"/>
      <c r="F1073" s="56" t="n"/>
      <c r="G1073" s="56" t="n"/>
      <c r="H1073" s="56" t="n"/>
      <c r="I1073" s="56" t="n"/>
      <c r="J1073" s="56" t="n"/>
      <c r="K1073" s="56" t="n"/>
      <c r="L1073" s="56" t="n"/>
      <c r="M1073" s="56">
        <f>N1073-SUM(C1073:L1073)</f>
        <v/>
      </c>
      <c r="N1073" s="57" t="n"/>
      <c r="O1073" s="56" t="n"/>
      <c r="P1073" s="56" t="n"/>
      <c r="Q1073" s="56" t="n"/>
      <c r="R1073" s="56" t="n"/>
      <c r="S1073" s="56" t="n"/>
      <c r="T1073" s="56" t="n"/>
      <c r="U1073" s="56" t="n"/>
      <c r="V1073" s="56" t="n"/>
      <c r="W1073" s="56" t="n"/>
      <c r="X1073" s="56" t="n"/>
    </row>
    <row r="1074">
      <c r="A1074" s="67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7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7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7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7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7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7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7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7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7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7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7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7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7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7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7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7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7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7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7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7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7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7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7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7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7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7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7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7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7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7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7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7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7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7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7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7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7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7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7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7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7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7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7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7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7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7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7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7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7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7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7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7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7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7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7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7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7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7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7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7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7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7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7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7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7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7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7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7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7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7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7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7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7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7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7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7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7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7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7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7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7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7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7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7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7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7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7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7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7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7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7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7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7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7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7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7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7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7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7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7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7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7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7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7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7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7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7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7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7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7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7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7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7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7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7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7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7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7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7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7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7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7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7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7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7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7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7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7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7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7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7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7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7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7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7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7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7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7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7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7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7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7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7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7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7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7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7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7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7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7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7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7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1" t="inlineStr">
        <is>
          <t>上期日期</t>
        </is>
      </c>
      <c r="B3" s="68" t="n">
        <v>46082</v>
      </c>
      <c r="C3" s="68" t="n">
        <v>46083</v>
      </c>
      <c r="D3" s="68" t="n">
        <v>46084</v>
      </c>
      <c r="E3" s="68" t="n">
        <v>46085</v>
      </c>
      <c r="F3" s="68" t="n">
        <v>46086</v>
      </c>
      <c r="G3" s="68" t="n">
        <v>46087</v>
      </c>
      <c r="H3" s="68" t="n">
        <v>46088</v>
      </c>
      <c r="I3" s="68" t="n">
        <v>46089</v>
      </c>
      <c r="J3" s="68" t="n">
        <v>46090</v>
      </c>
      <c r="K3" s="68" t="n">
        <v>46091</v>
      </c>
      <c r="L3" s="68" t="n">
        <v>46092</v>
      </c>
      <c r="M3" s="68" t="n">
        <v>46093</v>
      </c>
      <c r="N3" s="68" t="n">
        <v>46094</v>
      </c>
      <c r="O3" s="68" t="n">
        <v>46095</v>
      </c>
      <c r="P3" s="68" t="n">
        <v>46096</v>
      </c>
      <c r="Q3" s="68" t="n">
        <v>46097</v>
      </c>
      <c r="R3" s="68" t="n">
        <v>46098</v>
      </c>
      <c r="S3" s="68" t="n">
        <v>46099</v>
      </c>
      <c r="T3" s="68" t="n">
        <v>46100</v>
      </c>
      <c r="U3" s="68" t="n">
        <v>46101</v>
      </c>
      <c r="V3" s="68" t="n">
        <v>46102</v>
      </c>
      <c r="W3" s="68" t="n">
        <v>46103</v>
      </c>
      <c r="X3" s="68" t="n">
        <v>46104</v>
      </c>
      <c r="Y3" s="68" t="n">
        <v>46105</v>
      </c>
      <c r="Z3" s="68" t="n">
        <v>46106</v>
      </c>
      <c r="AA3" s="68" t="n">
        <v>46107</v>
      </c>
      <c r="AB3" s="68" t="n">
        <v>46108</v>
      </c>
      <c r="AC3" s="68" t="n">
        <v>46109</v>
      </c>
      <c r="AD3" s="68" t="n">
        <v>46110</v>
      </c>
      <c r="AE3" s="68" t="n">
        <v>46111</v>
      </c>
      <c r="AF3" s="68" t="n">
        <v>46112</v>
      </c>
    </row>
    <row r="4">
      <c r="A4" s="11" t="inlineStr">
        <is>
          <t>本期日期</t>
        </is>
      </c>
      <c r="B4" s="68" t="n">
        <v>46113</v>
      </c>
      <c r="C4" s="68" t="n">
        <v>46114</v>
      </c>
      <c r="D4" s="68" t="n">
        <v>46115</v>
      </c>
      <c r="E4" s="68" t="n">
        <v>46116</v>
      </c>
      <c r="F4" s="68" t="n">
        <v>46117</v>
      </c>
      <c r="G4" s="68" t="n">
        <v>46118</v>
      </c>
      <c r="H4" s="68" t="n">
        <v>46119</v>
      </c>
      <c r="I4" s="68" t="n">
        <v>46120</v>
      </c>
      <c r="J4" s="68" t="n">
        <v>46121</v>
      </c>
      <c r="K4" s="68" t="n">
        <v>46122</v>
      </c>
      <c r="L4" s="68" t="n">
        <v>46123</v>
      </c>
      <c r="M4" s="68" t="n">
        <v>46124</v>
      </c>
      <c r="N4" s="68" t="n">
        <v>46125</v>
      </c>
      <c r="O4" s="68" t="n">
        <v>46126</v>
      </c>
      <c r="P4" s="68" t="n">
        <v>46127</v>
      </c>
      <c r="Q4" s="68" t="n">
        <v>46128</v>
      </c>
      <c r="R4" s="68" t="n">
        <v>46129</v>
      </c>
      <c r="S4" s="68" t="n">
        <v>46130</v>
      </c>
      <c r="T4" s="68" t="n">
        <v>46131</v>
      </c>
      <c r="U4" s="68" t="n">
        <v>46132</v>
      </c>
      <c r="V4" s="68" t="n">
        <v>46133</v>
      </c>
      <c r="W4" s="68" t="n">
        <v>46134</v>
      </c>
      <c r="X4" s="68" t="n">
        <v>46135</v>
      </c>
      <c r="Y4" s="68" t="n">
        <v>46136</v>
      </c>
      <c r="Z4" s="68" t="n">
        <v>46137</v>
      </c>
      <c r="AA4" s="68" t="n">
        <v>46138</v>
      </c>
      <c r="AB4" s="68" t="n">
        <v>46139</v>
      </c>
      <c r="AC4" s="68" t="n">
        <v>46140</v>
      </c>
      <c r="AD4" s="68" t="n">
        <v>46141</v>
      </c>
      <c r="AE4" s="68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1" t="inlineStr">
        <is>
          <t>环比</t>
        </is>
      </c>
      <c r="B9" s="69">
        <f>IF(B6&lt;&gt;0,B6/B5-1,"-")</f>
        <v/>
      </c>
      <c r="C9" s="69">
        <f>IF(C6&lt;&gt;0,C6/C5-1,"-")</f>
        <v/>
      </c>
      <c r="D9" s="69">
        <f>IF(D6&lt;&gt;0,D6/D5-1,"-")</f>
        <v/>
      </c>
      <c r="E9" s="69">
        <f>IF(E6&lt;&gt;0,E6/E5-1,"-")</f>
        <v/>
      </c>
      <c r="F9" s="69">
        <f>IF(F6&lt;&gt;0,F6/F5-1,"-")</f>
        <v/>
      </c>
      <c r="G9" s="69">
        <f>IF(G6&lt;&gt;0,G6/G5-1,"-")</f>
        <v/>
      </c>
      <c r="H9" s="69">
        <f>IF(H6&lt;&gt;0,H6/H5-1,"-")</f>
        <v/>
      </c>
      <c r="I9" s="69">
        <f>IF(I6&lt;&gt;0,I6/I5-1,"-")</f>
        <v/>
      </c>
      <c r="J9" s="69">
        <f>IF(J6&lt;&gt;0,J6/J5-1,"-")</f>
        <v/>
      </c>
      <c r="K9" s="69">
        <f>IF(K6&lt;&gt;0,K6/K5-1,"-")</f>
        <v/>
      </c>
      <c r="L9" s="69">
        <f>IF(L6&lt;&gt;0,L6/L5-1,"-")</f>
        <v/>
      </c>
      <c r="M9" s="69">
        <f>IF(M6&lt;&gt;0,M6/M5-1,"-")</f>
        <v/>
      </c>
      <c r="N9" s="69">
        <f>IF(N6&lt;&gt;0,N6/N5-1,"-")</f>
        <v/>
      </c>
      <c r="O9" s="69">
        <f>IF(O6&lt;&gt;0,O6/O5-1,"-")</f>
        <v/>
      </c>
      <c r="P9" s="69">
        <f>IF(P6&lt;&gt;0,P6/P5-1,"-")</f>
        <v/>
      </c>
      <c r="Q9" s="69">
        <f>IF(Q6&lt;&gt;0,Q6/Q5-1,"-")</f>
        <v/>
      </c>
      <c r="R9" s="69">
        <f>IF(R6&lt;&gt;0,R6/R5-1,"-")</f>
        <v/>
      </c>
      <c r="S9" s="69">
        <f>IF(S6&lt;&gt;0,S6/S5-1,"-")</f>
        <v/>
      </c>
      <c r="T9" s="69">
        <f>IF(T6&lt;&gt;0,T6/T5-1,"-")</f>
        <v/>
      </c>
      <c r="U9" s="69">
        <f>IF(U6&lt;&gt;0,U6/U5-1,"-")</f>
        <v/>
      </c>
      <c r="V9" s="69">
        <f>IF(V6&lt;&gt;0,V6/V5-1,"-")</f>
        <v/>
      </c>
      <c r="W9" s="69">
        <f>IF(W6&lt;&gt;0,W6/W5-1,"-")</f>
        <v/>
      </c>
      <c r="X9" s="69">
        <f>IF(X6&lt;&gt;0,X6/X5-1,"-")</f>
        <v/>
      </c>
      <c r="Y9" s="69">
        <f>IF(Y6&lt;&gt;0,Y6/Y5-1,"-")</f>
        <v/>
      </c>
      <c r="Z9" s="69">
        <f>IF(Z6&lt;&gt;0,Z6/Z5-1,"-")</f>
        <v/>
      </c>
      <c r="AA9" s="69">
        <f>IF(AA6&lt;&gt;0,AA6/AA5-1,"-")</f>
        <v/>
      </c>
      <c r="AB9" s="69">
        <f>IF(AB6&lt;&gt;0,AB6/AB5-1,"-")</f>
        <v/>
      </c>
      <c r="AC9" s="69">
        <f>IF(AC6&lt;&gt;0,AC6/AC5-1,"-")</f>
        <v/>
      </c>
      <c r="AD9" s="69">
        <f>IF(AD6&lt;&gt;0,AD6/AD5-1,"-")</f>
        <v/>
      </c>
      <c r="AE9" s="69">
        <f>IF(AE6&lt;&gt;0,AE6/AE5-1,"-")</f>
        <v/>
      </c>
      <c r="AF9" s="69">
        <f>IF(AF6&lt;&gt;0,AF6/AF5-1,"-")</f>
        <v/>
      </c>
    </row>
    <row r="10">
      <c r="A10" s="11" t="inlineStr">
        <is>
          <t>累计环比</t>
        </is>
      </c>
      <c r="B10" s="69">
        <f>IFERROR(B8/B7-1,"-")</f>
        <v/>
      </c>
      <c r="C10" s="69">
        <f>IFERROR(C8/C7-1,"-")</f>
        <v/>
      </c>
      <c r="D10" s="69">
        <f>IFERROR(D8/D7-1,"-")</f>
        <v/>
      </c>
      <c r="E10" s="69">
        <f>IFERROR(E8/E7-1,"-")</f>
        <v/>
      </c>
      <c r="F10" s="69">
        <f>IFERROR(F8/F7-1,"-")</f>
        <v/>
      </c>
      <c r="G10" s="69">
        <f>IFERROR(G8/G7-1,"-")</f>
        <v/>
      </c>
      <c r="H10" s="69">
        <f>IFERROR(H8/H7-1,"-")</f>
        <v/>
      </c>
      <c r="I10" s="69">
        <f>IFERROR(I8/I7-1,"-")</f>
        <v/>
      </c>
      <c r="J10" s="69">
        <f>IFERROR(J8/J7-1,"-")</f>
        <v/>
      </c>
      <c r="K10" s="69">
        <f>IFERROR(K8/K7-1,"-")</f>
        <v/>
      </c>
      <c r="L10" s="69">
        <f>IFERROR(L8/L7-1,"-")</f>
        <v/>
      </c>
      <c r="M10" s="69">
        <f>IFERROR(M8/M7-1,"-")</f>
        <v/>
      </c>
      <c r="N10" s="69">
        <f>IFERROR(N8/N7-1,"-")</f>
        <v/>
      </c>
      <c r="O10" s="69">
        <f>IFERROR(O8/O7-1,"-")</f>
        <v/>
      </c>
      <c r="P10" s="69">
        <f>IFERROR(P8/P7-1,"-")</f>
        <v/>
      </c>
      <c r="Q10" s="69">
        <f>IFERROR(Q8/Q7-1,"-")</f>
        <v/>
      </c>
      <c r="R10" s="69">
        <f>IFERROR(R8/R7-1,"-")</f>
        <v/>
      </c>
      <c r="S10" s="69">
        <f>IFERROR(S8/S7-1,"-")</f>
        <v/>
      </c>
      <c r="T10" s="69">
        <f>IFERROR(T8/T7-1,"-")</f>
        <v/>
      </c>
      <c r="U10" s="69">
        <f>IFERROR(U8/U7-1,"-")</f>
        <v/>
      </c>
      <c r="V10" s="69">
        <f>IFERROR(V8/V7-1,"-")</f>
        <v/>
      </c>
      <c r="W10" s="69">
        <f>IFERROR(W8/W7-1,"-")</f>
        <v/>
      </c>
      <c r="X10" s="69">
        <f>IFERROR(X8/X7-1,"-")</f>
        <v/>
      </c>
      <c r="Y10" s="69">
        <f>IFERROR(Y8/Y7-1,"-")</f>
        <v/>
      </c>
      <c r="Z10" s="69">
        <f>IFERROR(Z8/Z7-1,"-")</f>
        <v/>
      </c>
      <c r="AA10" s="69">
        <f>IFERROR(AA8/AA7-1,"-")</f>
        <v/>
      </c>
      <c r="AB10" s="69">
        <f>IFERROR(AB8/AB7-1,"-")</f>
        <v/>
      </c>
      <c r="AC10" s="69">
        <f>IFERROR(AC8/AC7-1,"-")</f>
        <v/>
      </c>
      <c r="AD10" s="69">
        <f>IFERROR(AD8/AD7-1,"-")</f>
        <v/>
      </c>
      <c r="AE10" s="69">
        <f>IFERROR(AE8/AE7-1,"-")</f>
        <v/>
      </c>
      <c r="AF10" s="69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70" t="inlineStr">
        <is>
          <t>序号</t>
        </is>
      </c>
      <c r="B1" s="70" t="inlineStr">
        <is>
          <t>区域</t>
        </is>
      </c>
      <c r="C1" s="70" t="inlineStr">
        <is>
          <t>日期</t>
        </is>
      </c>
      <c r="D1" s="70" t="inlineStr">
        <is>
          <t>意向基准车系</t>
        </is>
      </c>
      <c r="E1" s="70" t="inlineStr">
        <is>
          <t>线索开发</t>
        </is>
      </c>
      <c r="F1" s="71" t="n"/>
      <c r="G1" s="71" t="n"/>
      <c r="H1" s="71" t="n"/>
      <c r="I1" s="72" t="n"/>
      <c r="J1" s="70" t="inlineStr">
        <is>
          <t>线索跟进</t>
        </is>
      </c>
      <c r="K1" s="71" t="n"/>
      <c r="L1" s="71" t="n"/>
      <c r="M1" s="71" t="n"/>
      <c r="N1" s="71" t="n"/>
      <c r="O1" s="71" t="n"/>
      <c r="P1" s="71" t="n"/>
      <c r="Q1" s="72" t="n"/>
      <c r="R1" s="70" t="inlineStr">
        <is>
          <t>现存线索</t>
        </is>
      </c>
      <c r="S1" s="71" t="n"/>
      <c r="T1" s="71" t="n"/>
      <c r="U1" s="71" t="n"/>
      <c r="V1" s="72" t="n"/>
      <c r="W1" s="70" t="inlineStr">
        <is>
          <t>异常线索</t>
        </is>
      </c>
      <c r="X1" s="71" t="n"/>
      <c r="Y1" s="71" t="n"/>
      <c r="Z1" s="71" t="n"/>
      <c r="AA1" s="71" t="n"/>
      <c r="AB1" s="72" t="n"/>
      <c r="AC1" s="70" t="inlineStr">
        <is>
          <t>到店转化</t>
        </is>
      </c>
      <c r="AD1" s="71" t="n"/>
      <c r="AE1" s="71" t="n"/>
      <c r="AF1" s="71" t="n"/>
      <c r="AG1" s="71" t="n"/>
      <c r="AH1" s="72" t="n"/>
      <c r="AI1" s="70" t="inlineStr">
        <is>
          <t>试驾转化</t>
        </is>
      </c>
      <c r="AJ1" s="71" t="n"/>
      <c r="AK1" s="71" t="n"/>
      <c r="AL1" s="71" t="n"/>
      <c r="AM1" s="71" t="n"/>
      <c r="AN1" s="71" t="n"/>
      <c r="AO1" s="71" t="n"/>
      <c r="AP1" s="71" t="n"/>
      <c r="AQ1" s="72" t="n"/>
      <c r="AR1" s="70" t="inlineStr">
        <is>
          <t>订单转化</t>
        </is>
      </c>
      <c r="AS1" s="71" t="n"/>
      <c r="AT1" s="71" t="n"/>
      <c r="AU1" s="71" t="n"/>
      <c r="AV1" s="71" t="n"/>
      <c r="AW1" s="71" t="n"/>
      <c r="AX1" s="71" t="n"/>
      <c r="AY1" s="71" t="n"/>
      <c r="AZ1" s="71" t="n"/>
      <c r="BA1" s="72" t="n"/>
      <c r="BB1" s="70" t="inlineStr">
        <is>
          <t>满意度</t>
        </is>
      </c>
      <c r="BC1" s="71" t="n"/>
      <c r="BD1" s="71" t="n"/>
      <c r="BE1" s="71" t="n"/>
      <c r="BF1" s="72" t="n"/>
    </row>
    <row r="2" ht="28.6" customHeight="1">
      <c r="A2" s="73" t="n"/>
      <c r="B2" s="73" t="n"/>
      <c r="C2" s="73" t="n"/>
      <c r="D2" s="73" t="n"/>
      <c r="E2" s="70" t="inlineStr">
        <is>
          <t>新增线索量</t>
        </is>
      </c>
      <c r="F2" s="70" t="inlineStr">
        <is>
          <t>有效线索量</t>
        </is>
      </c>
      <c r="G2" s="70" t="inlineStr">
        <is>
          <t>有效线索率</t>
        </is>
      </c>
      <c r="H2" s="70" t="inlineStr">
        <is>
          <t>门店线索总量</t>
        </is>
      </c>
      <c r="I2" s="70" t="inlineStr">
        <is>
          <t>门店线索占比</t>
        </is>
      </c>
      <c r="J2" s="70" t="inlineStr">
        <is>
          <t>应首访量</t>
        </is>
      </c>
      <c r="K2" s="74" t="inlineStr">
        <is>
          <t>按时首访量</t>
        </is>
      </c>
      <c r="L2" s="70" t="inlineStr">
        <is>
          <t>按时首访率</t>
        </is>
      </c>
      <c r="M2" s="70" t="inlineStr">
        <is>
          <t>应跟进任务量</t>
        </is>
      </c>
      <c r="N2" s="70" t="inlineStr">
        <is>
          <t>实际跟进任务量</t>
        </is>
      </c>
      <c r="O2" s="70" t="inlineStr">
        <is>
          <t>按时跟进任务量</t>
        </is>
      </c>
      <c r="P2" s="70" t="inlineStr">
        <is>
          <t>线索按时跟进率</t>
        </is>
      </c>
      <c r="Q2" s="70" t="inlineStr">
        <is>
          <t>超期未回访数</t>
        </is>
      </c>
      <c r="R2" s="70" t="inlineStr">
        <is>
          <t>现存线索量</t>
        </is>
      </c>
      <c r="S2" s="70" t="inlineStr">
        <is>
          <t>现存线索量H级数</t>
        </is>
      </c>
      <c r="T2" s="70" t="inlineStr">
        <is>
          <t>现存线索量H级占比</t>
        </is>
      </c>
      <c r="U2" s="70" t="inlineStr">
        <is>
          <t>现存线索企微绑定数</t>
        </is>
      </c>
      <c r="V2" s="70" t="inlineStr">
        <is>
          <t>现存线索企微绑定率</t>
        </is>
      </c>
      <c r="W2" s="70" t="inlineStr">
        <is>
          <t>战败线索量</t>
        </is>
      </c>
      <c r="X2" s="70" t="inlineStr">
        <is>
          <t>战败率</t>
        </is>
      </c>
      <c r="Y2" s="70" t="inlineStr">
        <is>
          <t>休眠线索量</t>
        </is>
      </c>
      <c r="Z2" s="70" t="inlineStr">
        <is>
          <t>休眠率</t>
        </is>
      </c>
      <c r="AA2" s="70" t="inlineStr">
        <is>
          <t>暂败线索量</t>
        </is>
      </c>
      <c r="AB2" s="70" t="inlineStr">
        <is>
          <t>暂败率</t>
        </is>
      </c>
      <c r="AC2" s="70" t="inlineStr">
        <is>
          <t>新增到店量</t>
        </is>
      </c>
      <c r="AD2" s="70" t="inlineStr">
        <is>
          <t>新增到店率</t>
        </is>
      </c>
      <c r="AE2" s="70" t="inlineStr">
        <is>
          <t>再次来店量</t>
        </is>
      </c>
      <c r="AF2" s="70" t="inlineStr">
        <is>
          <t>再次来店占比</t>
        </is>
      </c>
      <c r="AG2" s="70" t="inlineStr">
        <is>
          <t>到店企微绑定数</t>
        </is>
      </c>
      <c r="AH2" s="70" t="inlineStr">
        <is>
          <t>到店企微绑定率</t>
        </is>
      </c>
      <c r="AI2" s="70" t="inlineStr">
        <is>
          <t>线索排程量</t>
        </is>
      </c>
      <c r="AJ2" s="70" t="inlineStr">
        <is>
          <t>线索排程率</t>
        </is>
      </c>
      <c r="AK2" s="70" t="inlineStr">
        <is>
          <t>排程试驾量</t>
        </is>
      </c>
      <c r="AL2" s="70" t="inlineStr">
        <is>
          <t>排程试驾率</t>
        </is>
      </c>
      <c r="AM2" s="70" t="inlineStr">
        <is>
          <t xml:space="preserve">试驾量 </t>
        </is>
      </c>
      <c r="AN2" s="70" t="inlineStr">
        <is>
          <t>有效试驾量</t>
        </is>
      </c>
      <c r="AO2" s="70" t="inlineStr">
        <is>
          <t>线索试驾率</t>
        </is>
      </c>
      <c r="AP2" s="70" t="inlineStr">
        <is>
          <t>到店线索试驾率</t>
        </is>
      </c>
      <c r="AQ2" s="70" t="inlineStr">
        <is>
          <t>试驾24H回访率</t>
        </is>
      </c>
      <c r="AR2" s="70" t="inlineStr">
        <is>
          <t>新增小订量</t>
        </is>
      </c>
      <c r="AS2" s="70" t="inlineStr">
        <is>
          <t>小订量</t>
        </is>
      </c>
      <c r="AT2" s="70" t="inlineStr">
        <is>
          <t>新增大定量</t>
        </is>
      </c>
      <c r="AU2" s="70" t="inlineStr">
        <is>
          <t>大定量</t>
        </is>
      </c>
      <c r="AV2" s="70" t="inlineStr">
        <is>
          <t>锁单量</t>
        </is>
      </c>
      <c r="AW2" s="70" t="inlineStr">
        <is>
          <t>交车量</t>
        </is>
      </c>
      <c r="AX2" s="70" t="inlineStr">
        <is>
          <t>线索-大定率</t>
        </is>
      </c>
      <c r="AY2" s="70" t="inlineStr">
        <is>
          <t>线索-锁单率</t>
        </is>
      </c>
      <c r="AZ2" s="70" t="inlineStr">
        <is>
          <t>线索-交车率</t>
        </is>
      </c>
      <c r="BA2" s="70" t="inlineStr">
        <is>
          <t>试驾-锁单率</t>
        </is>
      </c>
      <c r="BB2" s="70" t="inlineStr">
        <is>
          <t>销售有效客诉量</t>
        </is>
      </c>
      <c r="BC2" s="70" t="inlineStr">
        <is>
          <t>低满数</t>
        </is>
      </c>
      <c r="BD2" s="70" t="inlineStr">
        <is>
          <t>试驾NPS值</t>
        </is>
      </c>
      <c r="BE2" s="70" t="inlineStr">
        <is>
          <t>订单NPS值</t>
        </is>
      </c>
      <c r="BF2" s="70" t="inlineStr">
        <is>
          <t>交付NPS值</t>
        </is>
      </c>
    </row>
    <row r="3" ht="19.55" customHeight="1">
      <c r="A3" s="75" t="inlineStr">
        <is>
          <t>合计</t>
        </is>
      </c>
      <c r="B3" s="71" t="n"/>
      <c r="C3" s="71" t="n"/>
      <c r="D3" s="72" t="n"/>
      <c r="E3" s="76" t="n">
        <v>561898</v>
      </c>
      <c r="F3" s="76" t="n">
        <v>489853</v>
      </c>
      <c r="G3" s="77" t="n">
        <v>0.8717827790809008</v>
      </c>
      <c r="H3" s="76" t="n">
        <v>218704</v>
      </c>
      <c r="I3" s="78" t="n">
        <v>0.3892236669288732</v>
      </c>
      <c r="J3" s="76" t="n">
        <v>570010</v>
      </c>
      <c r="K3" s="76" t="n">
        <v>553969</v>
      </c>
      <c r="L3" s="77" t="n">
        <v>0.972</v>
      </c>
      <c r="M3" s="76" t="n">
        <v>2229871</v>
      </c>
      <c r="N3" s="76" t="n">
        <v>2237331</v>
      </c>
      <c r="O3" s="76" t="n">
        <v>2191905</v>
      </c>
      <c r="P3" s="77" t="n">
        <v>0.9829739029746564</v>
      </c>
      <c r="Q3" s="76" t="n">
        <v>8226</v>
      </c>
      <c r="R3" s="76" t="n">
        <v>841275</v>
      </c>
      <c r="S3" s="76" t="n">
        <v>398046</v>
      </c>
      <c r="T3" s="77" t="n">
        <v>0.4731461175002229</v>
      </c>
      <c r="U3" s="76" t="n">
        <v>171686</v>
      </c>
      <c r="V3" s="77" t="n">
        <v>0.2040783334819173</v>
      </c>
      <c r="W3" s="76" t="n">
        <v>282623</v>
      </c>
      <c r="X3" s="77" t="n">
        <v>0.502979188393623</v>
      </c>
      <c r="Y3" s="76" t="n">
        <v>140206</v>
      </c>
      <c r="Z3" s="79" t="n">
        <v>0.2495221552666142</v>
      </c>
      <c r="AA3" s="76" t="n">
        <v>9170</v>
      </c>
      <c r="AB3" s="77" t="n">
        <v>0.01631968791488847</v>
      </c>
      <c r="AC3" s="76" t="n">
        <v>84121</v>
      </c>
      <c r="AD3" s="77" t="n">
        <v>0.1497086659856415</v>
      </c>
      <c r="AE3" s="76" t="n">
        <v>15679</v>
      </c>
      <c r="AF3" s="77" t="n">
        <v>0.1863862769106406</v>
      </c>
      <c r="AG3" s="76" t="n">
        <v>75848</v>
      </c>
      <c r="AH3" s="77" t="n">
        <v>0.9016535704520868</v>
      </c>
      <c r="AI3" s="80" t="n">
        <v>84623</v>
      </c>
      <c r="AJ3" s="77" t="n">
        <v>0.1506020665672417</v>
      </c>
      <c r="AK3" s="80" t="n">
        <v>515</v>
      </c>
      <c r="AL3" s="77" t="n">
        <v>0.8817697316332439</v>
      </c>
      <c r="AM3" s="80" t="n">
        <v>84159</v>
      </c>
      <c r="AN3" s="80" t="n">
        <v>74618</v>
      </c>
      <c r="AO3" s="77" t="n">
        <v>0.1327963438204087</v>
      </c>
      <c r="AP3" s="77" t="n">
        <v>0.8870317756564948</v>
      </c>
      <c r="AQ3" s="78" t="n">
        <v>0.9665373005605865</v>
      </c>
      <c r="AR3" s="80" t="n">
        <v>4705</v>
      </c>
      <c r="AS3" s="80" t="n">
        <v>4</v>
      </c>
      <c r="AT3" s="80" t="n">
        <v>15551</v>
      </c>
      <c r="AU3" s="80" t="n">
        <v>13808</v>
      </c>
      <c r="AV3" s="80" t="n">
        <v>13779</v>
      </c>
      <c r="AW3" s="80" t="n">
        <v>8902</v>
      </c>
      <c r="AX3" s="77" t="n">
        <v>0.02457385504130643</v>
      </c>
      <c r="AY3" s="77" t="n">
        <v>0.0245222442507359</v>
      </c>
      <c r="AZ3" s="77" t="n">
        <v>0.01584273302271942</v>
      </c>
      <c r="BA3" s="77" t="n">
        <v>0.1846605376718754</v>
      </c>
      <c r="BB3" s="80" t="n">
        <v>0</v>
      </c>
      <c r="BC3" s="80" t="n">
        <v>34</v>
      </c>
      <c r="BD3" s="78" t="n">
        <v>0.9805752396832014</v>
      </c>
      <c r="BE3" s="78" t="n">
        <v>0.9881149806522941</v>
      </c>
      <c r="BF3" s="78" t="n">
        <v>0</v>
      </c>
    </row>
    <row r="4" ht="19.55" customHeight="1">
      <c r="A4" s="81" t="n">
        <v>1</v>
      </c>
      <c r="B4" s="76" t="inlineStr">
        <is>
          <t>全国</t>
        </is>
      </c>
      <c r="C4" s="82" t="n">
        <v>46113</v>
      </c>
      <c r="D4" s="76" t="inlineStr">
        <is>
          <t>N6</t>
        </is>
      </c>
      <c r="E4" s="76" t="n">
        <v>2576</v>
      </c>
      <c r="F4" s="76" t="n">
        <v>2154</v>
      </c>
      <c r="G4" s="77" t="n">
        <v>0.8361801242236024</v>
      </c>
      <c r="H4" s="76" t="n">
        <v>1095</v>
      </c>
      <c r="I4" s="78" t="n">
        <v>0.4250776397515528</v>
      </c>
      <c r="J4" s="76" t="n">
        <v>2267</v>
      </c>
      <c r="K4" s="76" t="n">
        <v>2215</v>
      </c>
      <c r="L4" s="77" t="n">
        <v>0.977</v>
      </c>
      <c r="M4" s="76" t="n">
        <v>10474</v>
      </c>
      <c r="N4" s="76" t="n">
        <v>10612</v>
      </c>
      <c r="O4" s="76" t="n">
        <v>10331</v>
      </c>
      <c r="P4" s="77" t="n">
        <v>0.9863471453122017</v>
      </c>
      <c r="Q4" s="76" t="n">
        <v>19</v>
      </c>
      <c r="R4" s="76" t="n">
        <v>0</v>
      </c>
      <c r="S4" s="76" t="n">
        <v>0</v>
      </c>
      <c r="T4" s="77" t="n">
        <v>0</v>
      </c>
      <c r="U4" s="76" t="n">
        <v>0</v>
      </c>
      <c r="V4" s="77" t="n">
        <v>0</v>
      </c>
      <c r="W4" s="76" t="n">
        <v>3002</v>
      </c>
      <c r="X4" s="77" t="n">
        <v>1.165372670807453</v>
      </c>
      <c r="Y4" s="76" t="n">
        <v>289</v>
      </c>
      <c r="Z4" s="79" t="n">
        <v>0.1121894409937888</v>
      </c>
      <c r="AA4" s="76" t="n">
        <v>38</v>
      </c>
      <c r="AB4" s="77" t="n">
        <v>0.01475155279503106</v>
      </c>
      <c r="AC4" s="76" t="n">
        <v>248</v>
      </c>
      <c r="AD4" s="77" t="n">
        <v>0.09627329192546584</v>
      </c>
      <c r="AE4" s="76" t="n">
        <v>42</v>
      </c>
      <c r="AF4" s="77" t="n">
        <v>0.1693548387096774</v>
      </c>
      <c r="AG4" s="76" t="n">
        <v>238</v>
      </c>
      <c r="AH4" s="77" t="n">
        <v>0.9596774193548387</v>
      </c>
      <c r="AI4" s="80" t="n">
        <v>255</v>
      </c>
      <c r="AJ4" s="77" t="n">
        <v>0.09899068322981366</v>
      </c>
      <c r="AK4" s="80" t="n">
        <v>1</v>
      </c>
      <c r="AL4" s="77" t="n">
        <v>0.8705882352941177</v>
      </c>
      <c r="AM4" s="80" t="n">
        <v>254</v>
      </c>
      <c r="AN4" s="80" t="n">
        <v>222</v>
      </c>
      <c r="AO4" s="77" t="n">
        <v>0.08618012422360248</v>
      </c>
      <c r="AP4" s="77" t="n">
        <v>0.8951612903225806</v>
      </c>
      <c r="AQ4" s="78" t="n">
        <v>0.9840637450199203</v>
      </c>
      <c r="AR4" s="80" t="n">
        <v>0</v>
      </c>
      <c r="AS4" s="80" t="n">
        <v>0</v>
      </c>
      <c r="AT4" s="80" t="n">
        <v>57</v>
      </c>
      <c r="AU4" s="80" t="n">
        <v>49</v>
      </c>
      <c r="AV4" s="80" t="n">
        <v>53</v>
      </c>
      <c r="AW4" s="80" t="n">
        <v>74</v>
      </c>
      <c r="AX4" s="77" t="n">
        <v>0.01902173913043478</v>
      </c>
      <c r="AY4" s="77" t="n">
        <v>0.02057453416149068</v>
      </c>
      <c r="AZ4" s="77" t="n">
        <v>0.02872670807453416</v>
      </c>
      <c r="BA4" s="77" t="n">
        <v>0.2387387387387387</v>
      </c>
      <c r="BB4" s="80" t="n">
        <v>0</v>
      </c>
      <c r="BC4" s="80" t="n">
        <v>0</v>
      </c>
      <c r="BD4" s="78" t="n">
        <v>1</v>
      </c>
      <c r="BE4" s="78" t="n">
        <v>1</v>
      </c>
      <c r="BF4" s="78" t="inlineStr">
        <is>
          <t>-</t>
        </is>
      </c>
    </row>
    <row r="5" ht="19.55" customHeight="1">
      <c r="A5" s="81" t="n">
        <v>2</v>
      </c>
      <c r="B5" s="76" t="inlineStr">
        <is>
          <t>全国</t>
        </is>
      </c>
      <c r="C5" s="82" t="n">
        <v>46113</v>
      </c>
      <c r="D5" s="76" t="inlineStr">
        <is>
          <t>N7</t>
        </is>
      </c>
      <c r="E5" s="76" t="n">
        <v>2252</v>
      </c>
      <c r="F5" s="76" t="n">
        <v>2013</v>
      </c>
      <c r="G5" s="77" t="n">
        <v>0.8938721136767318</v>
      </c>
      <c r="H5" s="76" t="n">
        <v>995</v>
      </c>
      <c r="I5" s="78" t="n">
        <v>0.4418294849023091</v>
      </c>
      <c r="J5" s="76" t="n">
        <v>1634</v>
      </c>
      <c r="K5" s="76" t="n">
        <v>1510</v>
      </c>
      <c r="L5" s="77" t="n">
        <v>0.924</v>
      </c>
      <c r="M5" s="76" t="n">
        <v>8926</v>
      </c>
      <c r="N5" s="76" t="n">
        <v>8863</v>
      </c>
      <c r="O5" s="76" t="n">
        <v>8732</v>
      </c>
      <c r="P5" s="77" t="n">
        <v>0.9782657405332735</v>
      </c>
      <c r="Q5" s="76" t="n">
        <v>45</v>
      </c>
      <c r="R5" s="76" t="n">
        <v>0</v>
      </c>
      <c r="S5" s="76" t="n">
        <v>0</v>
      </c>
      <c r="T5" s="77" t="n">
        <v>0</v>
      </c>
      <c r="U5" s="76" t="n">
        <v>0</v>
      </c>
      <c r="V5" s="77" t="n">
        <v>0</v>
      </c>
      <c r="W5" s="76" t="n">
        <v>2780</v>
      </c>
      <c r="X5" s="77" t="n">
        <v>1.234458259325044</v>
      </c>
      <c r="Y5" s="76" t="n">
        <v>538</v>
      </c>
      <c r="Z5" s="79" t="n">
        <v>0.238898756660746</v>
      </c>
      <c r="AA5" s="76" t="n">
        <v>23</v>
      </c>
      <c r="AB5" s="77" t="n">
        <v>0.01021314387211368</v>
      </c>
      <c r="AC5" s="76" t="n">
        <v>277</v>
      </c>
      <c r="AD5" s="77" t="n">
        <v>0.1230017761989343</v>
      </c>
      <c r="AE5" s="76" t="n">
        <v>34</v>
      </c>
      <c r="AF5" s="77" t="n">
        <v>0.1227436823104693</v>
      </c>
      <c r="AG5" s="76" t="n">
        <v>254</v>
      </c>
      <c r="AH5" s="77" t="n">
        <v>0.9169675090252708</v>
      </c>
      <c r="AI5" s="80" t="n">
        <v>257</v>
      </c>
      <c r="AJ5" s="77" t="n">
        <v>0.1141207815275311</v>
      </c>
      <c r="AK5" s="80" t="n">
        <v>1</v>
      </c>
      <c r="AL5" s="77" t="n">
        <v>0.8871595330739299</v>
      </c>
      <c r="AM5" s="80" t="n">
        <v>256</v>
      </c>
      <c r="AN5" s="80" t="n">
        <v>228</v>
      </c>
      <c r="AO5" s="77" t="n">
        <v>0.1012433392539965</v>
      </c>
      <c r="AP5" s="77" t="n">
        <v>0.8231046931407943</v>
      </c>
      <c r="AQ5" s="78" t="n">
        <v>0.9748201438848921</v>
      </c>
      <c r="AR5" s="80" t="n">
        <v>0</v>
      </c>
      <c r="AS5" s="80" t="n">
        <v>0</v>
      </c>
      <c r="AT5" s="80" t="n">
        <v>44</v>
      </c>
      <c r="AU5" s="80" t="n">
        <v>34</v>
      </c>
      <c r="AV5" s="80" t="n">
        <v>37</v>
      </c>
      <c r="AW5" s="80" t="n">
        <v>53</v>
      </c>
      <c r="AX5" s="77" t="n">
        <v>0.01509769094138544</v>
      </c>
      <c r="AY5" s="77" t="n">
        <v>0.01642984014209592</v>
      </c>
      <c r="AZ5" s="77" t="n">
        <v>0.02353463587921847</v>
      </c>
      <c r="BA5" s="77" t="n">
        <v>0.162280701754386</v>
      </c>
      <c r="BB5" s="80" t="n">
        <v>0</v>
      </c>
      <c r="BC5" s="80" t="n">
        <v>0</v>
      </c>
      <c r="BD5" s="78" t="n">
        <v>1</v>
      </c>
      <c r="BE5" s="78" t="n">
        <v>1</v>
      </c>
      <c r="BF5" s="78" t="inlineStr">
        <is>
          <t>-</t>
        </is>
      </c>
    </row>
    <row r="6" ht="19.55" customHeight="1">
      <c r="A6" s="81" t="n">
        <v>3</v>
      </c>
      <c r="B6" s="76" t="inlineStr">
        <is>
          <t>全国</t>
        </is>
      </c>
      <c r="C6" s="82" t="n">
        <v>46113</v>
      </c>
      <c r="D6" s="76" t="inlineStr">
        <is>
          <t>NX8</t>
        </is>
      </c>
      <c r="E6" s="76" t="n">
        <v>2088</v>
      </c>
      <c r="F6" s="76" t="n">
        <v>1878</v>
      </c>
      <c r="G6" s="77" t="n">
        <v>0.8994252873563219</v>
      </c>
      <c r="H6" s="76" t="n">
        <v>436</v>
      </c>
      <c r="I6" s="78" t="n">
        <v>0.2088122605363985</v>
      </c>
      <c r="J6" s="76" t="n">
        <v>1197</v>
      </c>
      <c r="K6" s="76" t="n">
        <v>1151</v>
      </c>
      <c r="L6" s="77" t="n">
        <v>0.962</v>
      </c>
      <c r="M6" s="76" t="n">
        <v>4827</v>
      </c>
      <c r="N6" s="76" t="n">
        <v>4895</v>
      </c>
      <c r="O6" s="76" t="n">
        <v>4717</v>
      </c>
      <c r="P6" s="77" t="n">
        <v>0.9772115185415372</v>
      </c>
      <c r="Q6" s="76" t="n">
        <v>17</v>
      </c>
      <c r="R6" s="76" t="n">
        <v>0</v>
      </c>
      <c r="S6" s="76" t="n">
        <v>0</v>
      </c>
      <c r="T6" s="77" t="n">
        <v>0</v>
      </c>
      <c r="U6" s="76" t="n">
        <v>0</v>
      </c>
      <c r="V6" s="77" t="n">
        <v>0</v>
      </c>
      <c r="W6" s="76" t="n">
        <v>61</v>
      </c>
      <c r="X6" s="77" t="n">
        <v>0.02921455938697318</v>
      </c>
      <c r="Y6" s="76" t="n">
        <v>190</v>
      </c>
      <c r="Z6" s="79" t="n">
        <v>0.09099616858237548</v>
      </c>
      <c r="AA6" s="76" t="n">
        <v>0</v>
      </c>
      <c r="AB6" s="77" t="n">
        <v>0</v>
      </c>
      <c r="AC6" s="76" t="n">
        <v>317</v>
      </c>
      <c r="AD6" s="77" t="n">
        <v>0.1518199233716475</v>
      </c>
      <c r="AE6" s="76" t="n">
        <v>169</v>
      </c>
      <c r="AF6" s="77" t="n">
        <v>0.5331230283911672</v>
      </c>
      <c r="AG6" s="76" t="n">
        <v>303</v>
      </c>
      <c r="AH6" s="77" t="n">
        <v>0.9558359621451105</v>
      </c>
      <c r="AI6" s="80" t="n">
        <v>332</v>
      </c>
      <c r="AJ6" s="77" t="n">
        <v>0.1590038314176245</v>
      </c>
      <c r="AK6" s="80" t="n">
        <v>0</v>
      </c>
      <c r="AL6" s="77" t="n">
        <v>0.6957831325301205</v>
      </c>
      <c r="AM6" s="80" t="n">
        <v>331</v>
      </c>
      <c r="AN6" s="80" t="n">
        <v>231</v>
      </c>
      <c r="AO6" s="77" t="n">
        <v>0.110632183908046</v>
      </c>
      <c r="AP6" s="77" t="n">
        <v>0.7287066246056783</v>
      </c>
      <c r="AQ6" s="78" t="n">
        <v>0.9532163742690059</v>
      </c>
      <c r="AR6" s="80" t="n">
        <v>216</v>
      </c>
      <c r="AS6" s="80" t="n">
        <v>1</v>
      </c>
      <c r="AT6" s="80" t="n">
        <v>0</v>
      </c>
      <c r="AU6" s="80" t="n">
        <v>0</v>
      </c>
      <c r="AV6" s="80" t="n">
        <v>0</v>
      </c>
      <c r="AW6" s="80" t="n">
        <v>0</v>
      </c>
      <c r="AX6" s="77" t="n">
        <v>0</v>
      </c>
      <c r="AY6" s="77" t="n">
        <v>0</v>
      </c>
      <c r="AZ6" s="77" t="n">
        <v>0</v>
      </c>
      <c r="BA6" s="77" t="n">
        <v>0</v>
      </c>
      <c r="BB6" s="80" t="n">
        <v>0</v>
      </c>
      <c r="BC6" s="80" t="n">
        <v>0</v>
      </c>
      <c r="BD6" s="78" t="n">
        <v>0.9866666666666667</v>
      </c>
      <c r="BE6" s="78" t="inlineStr">
        <is>
          <t>-</t>
        </is>
      </c>
      <c r="BF6" s="78" t="inlineStr">
        <is>
          <t>-</t>
        </is>
      </c>
    </row>
    <row r="7" ht="19.55" customHeight="1">
      <c r="A7" s="81" t="n">
        <v>4</v>
      </c>
      <c r="B7" s="76" t="inlineStr">
        <is>
          <t>全国</t>
        </is>
      </c>
      <c r="C7" s="82" t="n">
        <v>46113</v>
      </c>
      <c r="D7" s="76" t="inlineStr">
        <is>
          <t>天籁·鸿蒙座舱</t>
        </is>
      </c>
      <c r="E7" s="76" t="n">
        <v>2822</v>
      </c>
      <c r="F7" s="76" t="n">
        <v>2509</v>
      </c>
      <c r="G7" s="77" t="n">
        <v>0.8890857547838412</v>
      </c>
      <c r="H7" s="76" t="n">
        <v>1766</v>
      </c>
      <c r="I7" s="78" t="n">
        <v>0.625797306874557</v>
      </c>
      <c r="J7" s="76" t="n">
        <v>3756</v>
      </c>
      <c r="K7" s="76" t="n">
        <v>3691</v>
      </c>
      <c r="L7" s="77" t="n">
        <v>0.983</v>
      </c>
      <c r="M7" s="76" t="n">
        <v>19469</v>
      </c>
      <c r="N7" s="76" t="n">
        <v>18968</v>
      </c>
      <c r="O7" s="76" t="n">
        <v>19202</v>
      </c>
      <c r="P7" s="77" t="n">
        <v>0.9862858903898505</v>
      </c>
      <c r="Q7" s="76" t="n">
        <v>19</v>
      </c>
      <c r="R7" s="76" t="n">
        <v>0</v>
      </c>
      <c r="S7" s="76" t="n">
        <v>0</v>
      </c>
      <c r="T7" s="77" t="n">
        <v>0</v>
      </c>
      <c r="U7" s="76" t="n">
        <v>0</v>
      </c>
      <c r="V7" s="77" t="n">
        <v>0</v>
      </c>
      <c r="W7" s="76" t="n">
        <v>4478</v>
      </c>
      <c r="X7" s="77" t="n">
        <v>1.58681785967399</v>
      </c>
      <c r="Y7" s="76" t="n">
        <v>482</v>
      </c>
      <c r="Z7" s="79" t="n">
        <v>0.1708008504606662</v>
      </c>
      <c r="AA7" s="76" t="n">
        <v>105</v>
      </c>
      <c r="AB7" s="77" t="n">
        <v>0.03720765414599575</v>
      </c>
      <c r="AC7" s="76" t="n">
        <v>400</v>
      </c>
      <c r="AD7" s="77" t="n">
        <v>0.1417434443656981</v>
      </c>
      <c r="AE7" s="76" t="n">
        <v>46</v>
      </c>
      <c r="AF7" s="77" t="n">
        <v>0.115</v>
      </c>
      <c r="AG7" s="76" t="n">
        <v>383</v>
      </c>
      <c r="AH7" s="77" t="n">
        <v>0.9575</v>
      </c>
      <c r="AI7" s="80" t="n">
        <v>404</v>
      </c>
      <c r="AJ7" s="77" t="n">
        <v>0.1431608788093551</v>
      </c>
      <c r="AK7" s="80" t="n">
        <v>2</v>
      </c>
      <c r="AL7" s="77" t="n">
        <v>0.900990099009901</v>
      </c>
      <c r="AM7" s="80" t="n">
        <v>399</v>
      </c>
      <c r="AN7" s="80" t="n">
        <v>364</v>
      </c>
      <c r="AO7" s="77" t="n">
        <v>0.1289865343727853</v>
      </c>
      <c r="AP7" s="77" t="n">
        <v>0.91</v>
      </c>
      <c r="AQ7" s="78" t="n">
        <v>0.9665178571428571</v>
      </c>
      <c r="AR7" s="80" t="n">
        <v>0</v>
      </c>
      <c r="AS7" s="80" t="n">
        <v>0</v>
      </c>
      <c r="AT7" s="80" t="n">
        <v>49</v>
      </c>
      <c r="AU7" s="80" t="n">
        <v>47</v>
      </c>
      <c r="AV7" s="80" t="n">
        <v>49</v>
      </c>
      <c r="AW7" s="80" t="n">
        <v>82</v>
      </c>
      <c r="AX7" s="77" t="n">
        <v>0.01665485471296952</v>
      </c>
      <c r="AY7" s="77" t="n">
        <v>0.01736357193479801</v>
      </c>
      <c r="AZ7" s="77" t="n">
        <v>0.02905740609496811</v>
      </c>
      <c r="BA7" s="77" t="n">
        <v>0.1346153846153846</v>
      </c>
      <c r="BB7" s="80" t="n">
        <v>0</v>
      </c>
      <c r="BC7" s="80" t="n">
        <v>0</v>
      </c>
      <c r="BD7" s="78" t="n">
        <v>0.9833333333333333</v>
      </c>
      <c r="BE7" s="78" t="n">
        <v>1</v>
      </c>
      <c r="BF7" s="78" t="inlineStr">
        <is>
          <t>-</t>
        </is>
      </c>
    </row>
    <row r="8" ht="19.55" customHeight="1">
      <c r="A8" s="81" t="n">
        <v>5</v>
      </c>
      <c r="B8" s="76" t="inlineStr">
        <is>
          <t>全国</t>
        </is>
      </c>
      <c r="C8" s="82" t="n">
        <v>46114</v>
      </c>
      <c r="D8" s="76" t="inlineStr">
        <is>
          <t>N6</t>
        </is>
      </c>
      <c r="E8" s="76" t="n">
        <v>2358</v>
      </c>
      <c r="F8" s="76" t="n">
        <v>1863</v>
      </c>
      <c r="G8" s="77" t="n">
        <v>0.7900763358778626</v>
      </c>
      <c r="H8" s="76" t="n">
        <v>952</v>
      </c>
      <c r="I8" s="78" t="n">
        <v>0.4037319762510602</v>
      </c>
      <c r="J8" s="76" t="n">
        <v>1993</v>
      </c>
      <c r="K8" s="76" t="n">
        <v>1938</v>
      </c>
      <c r="L8" s="77" t="n">
        <v>0.972</v>
      </c>
      <c r="M8" s="76" t="n">
        <v>10921</v>
      </c>
      <c r="N8" s="76" t="n">
        <v>10944</v>
      </c>
      <c r="O8" s="76" t="n">
        <v>10753</v>
      </c>
      <c r="P8" s="77" t="n">
        <v>0.9846167933339438</v>
      </c>
      <c r="Q8" s="76" t="n">
        <v>12</v>
      </c>
      <c r="R8" s="76" t="n">
        <v>0</v>
      </c>
      <c r="S8" s="76" t="n">
        <v>0</v>
      </c>
      <c r="T8" s="77" t="n">
        <v>0</v>
      </c>
      <c r="U8" s="76" t="n">
        <v>0</v>
      </c>
      <c r="V8" s="77" t="n">
        <v>0</v>
      </c>
      <c r="W8" s="76" t="n">
        <v>1926</v>
      </c>
      <c r="X8" s="77" t="n">
        <v>0.816793893129771</v>
      </c>
      <c r="Y8" s="76" t="n">
        <v>659</v>
      </c>
      <c r="Z8" s="79" t="n">
        <v>0.2794741306191688</v>
      </c>
      <c r="AA8" s="76" t="n">
        <v>30</v>
      </c>
      <c r="AB8" s="77" t="n">
        <v>0.01272264631043257</v>
      </c>
      <c r="AC8" s="76" t="n">
        <v>227</v>
      </c>
      <c r="AD8" s="77" t="n">
        <v>0.09626802374893978</v>
      </c>
      <c r="AE8" s="76" t="n">
        <v>54</v>
      </c>
      <c r="AF8" s="77" t="n">
        <v>0.2378854625550661</v>
      </c>
      <c r="AG8" s="76" t="n">
        <v>209</v>
      </c>
      <c r="AH8" s="77" t="n">
        <v>0.920704845814978</v>
      </c>
      <c r="AI8" s="80" t="n">
        <v>229</v>
      </c>
      <c r="AJ8" s="77" t="n">
        <v>0.09711620016963528</v>
      </c>
      <c r="AK8" s="80" t="n">
        <v>0</v>
      </c>
      <c r="AL8" s="77" t="n">
        <v>0.8296943231441049</v>
      </c>
      <c r="AM8" s="80" t="n">
        <v>228</v>
      </c>
      <c r="AN8" s="80" t="n">
        <v>190</v>
      </c>
      <c r="AO8" s="77" t="n">
        <v>0.08057675996607294</v>
      </c>
      <c r="AP8" s="77" t="n">
        <v>0.8370044052863436</v>
      </c>
      <c r="AQ8" s="78" t="n">
        <v>0.9694323144104804</v>
      </c>
      <c r="AR8" s="80" t="n">
        <v>0</v>
      </c>
      <c r="AS8" s="80" t="n">
        <v>0</v>
      </c>
      <c r="AT8" s="80" t="n">
        <v>53</v>
      </c>
      <c r="AU8" s="80" t="n">
        <v>47</v>
      </c>
      <c r="AV8" s="80" t="n">
        <v>45</v>
      </c>
      <c r="AW8" s="80" t="n">
        <v>60</v>
      </c>
      <c r="AX8" s="77" t="n">
        <v>0.01993214588634436</v>
      </c>
      <c r="AY8" s="77" t="n">
        <v>0.01908396946564886</v>
      </c>
      <c r="AZ8" s="77" t="n">
        <v>0.02544529262086514</v>
      </c>
      <c r="BA8" s="77" t="n">
        <v>0.2368421052631579</v>
      </c>
      <c r="BB8" s="80" t="n">
        <v>0</v>
      </c>
      <c r="BC8" s="80" t="n">
        <v>0</v>
      </c>
      <c r="BD8" s="78" t="n">
        <v>1</v>
      </c>
      <c r="BE8" s="78" t="n">
        <v>1</v>
      </c>
      <c r="BF8" s="78" t="inlineStr">
        <is>
          <t>-</t>
        </is>
      </c>
    </row>
    <row r="9" ht="19.55" customHeight="1">
      <c r="A9" s="81" t="n">
        <v>6</v>
      </c>
      <c r="B9" s="76" t="inlineStr">
        <is>
          <t>全国</t>
        </is>
      </c>
      <c r="C9" s="82" t="n">
        <v>46114</v>
      </c>
      <c r="D9" s="76" t="inlineStr">
        <is>
          <t>N7</t>
        </is>
      </c>
      <c r="E9" s="76" t="n">
        <v>2321</v>
      </c>
      <c r="F9" s="76" t="n">
        <v>1999</v>
      </c>
      <c r="G9" s="77" t="n">
        <v>0.8612666953899182</v>
      </c>
      <c r="H9" s="76" t="n">
        <v>1329</v>
      </c>
      <c r="I9" s="78" t="n">
        <v>0.5725980180956485</v>
      </c>
      <c r="J9" s="76" t="n">
        <v>2259</v>
      </c>
      <c r="K9" s="76" t="n">
        <v>2170</v>
      </c>
      <c r="L9" s="77" t="n">
        <v>0.961</v>
      </c>
      <c r="M9" s="76" t="n">
        <v>9777</v>
      </c>
      <c r="N9" s="76" t="n">
        <v>9793</v>
      </c>
      <c r="O9" s="76" t="n">
        <v>9585</v>
      </c>
      <c r="P9" s="77" t="n">
        <v>0.9803620742559067</v>
      </c>
      <c r="Q9" s="76" t="n">
        <v>46</v>
      </c>
      <c r="R9" s="76" t="n">
        <v>0</v>
      </c>
      <c r="S9" s="76" t="n">
        <v>0</v>
      </c>
      <c r="T9" s="77" t="n">
        <v>0</v>
      </c>
      <c r="U9" s="76" t="n">
        <v>0</v>
      </c>
      <c r="V9" s="77" t="n">
        <v>0</v>
      </c>
      <c r="W9" s="76" t="n">
        <v>1891</v>
      </c>
      <c r="X9" s="77" t="n">
        <v>0.8147350280051702</v>
      </c>
      <c r="Y9" s="76" t="n">
        <v>917</v>
      </c>
      <c r="Z9" s="79" t="n">
        <v>0.3950883239982766</v>
      </c>
      <c r="AA9" s="76" t="n">
        <v>26</v>
      </c>
      <c r="AB9" s="77" t="n">
        <v>0.01120206807410599</v>
      </c>
      <c r="AC9" s="76" t="n">
        <v>247</v>
      </c>
      <c r="AD9" s="77" t="n">
        <v>0.1064196467040069</v>
      </c>
      <c r="AE9" s="76" t="n">
        <v>57</v>
      </c>
      <c r="AF9" s="77" t="n">
        <v>0.2307692307692308</v>
      </c>
      <c r="AG9" s="76" t="n">
        <v>229</v>
      </c>
      <c r="AH9" s="77" t="n">
        <v>0.9271255060728745</v>
      </c>
      <c r="AI9" s="80" t="n">
        <v>235</v>
      </c>
      <c r="AJ9" s="77" t="n">
        <v>0.1012494614390349</v>
      </c>
      <c r="AK9" s="80" t="n">
        <v>1</v>
      </c>
      <c r="AL9" s="77" t="n">
        <v>0.8553191489361702</v>
      </c>
      <c r="AM9" s="80" t="n">
        <v>236</v>
      </c>
      <c r="AN9" s="80" t="n">
        <v>201</v>
      </c>
      <c r="AO9" s="77" t="n">
        <v>0.08660060318828092</v>
      </c>
      <c r="AP9" s="77" t="n">
        <v>0.8137651821862348</v>
      </c>
      <c r="AQ9" s="78" t="n">
        <v>0.9543568464730291</v>
      </c>
      <c r="AR9" s="80" t="n">
        <v>0</v>
      </c>
      <c r="AS9" s="80" t="n">
        <v>0</v>
      </c>
      <c r="AT9" s="80" t="n">
        <v>48</v>
      </c>
      <c r="AU9" s="80" t="n">
        <v>41</v>
      </c>
      <c r="AV9" s="80" t="n">
        <v>42</v>
      </c>
      <c r="AW9" s="80" t="n">
        <v>36</v>
      </c>
      <c r="AX9" s="77" t="n">
        <v>0.01766479965532098</v>
      </c>
      <c r="AY9" s="77" t="n">
        <v>0.01809564842740198</v>
      </c>
      <c r="AZ9" s="77" t="n">
        <v>0.01551055579491598</v>
      </c>
      <c r="BA9" s="77" t="n">
        <v>0.208955223880597</v>
      </c>
      <c r="BB9" s="80" t="n">
        <v>0</v>
      </c>
      <c r="BC9" s="80" t="n">
        <v>0</v>
      </c>
      <c r="BD9" s="78" t="n">
        <v>0.9642857142857143</v>
      </c>
      <c r="BE9" s="78" t="n">
        <v>1</v>
      </c>
      <c r="BF9" s="78" t="inlineStr">
        <is>
          <t>-</t>
        </is>
      </c>
    </row>
    <row r="10" ht="19.55" customHeight="1">
      <c r="A10" s="81" t="n">
        <v>7</v>
      </c>
      <c r="B10" s="76" t="inlineStr">
        <is>
          <t>全国</t>
        </is>
      </c>
      <c r="C10" s="82" t="n">
        <v>46114</v>
      </c>
      <c r="D10" s="76" t="inlineStr">
        <is>
          <t>NX8</t>
        </is>
      </c>
      <c r="E10" s="76" t="n">
        <v>3350</v>
      </c>
      <c r="F10" s="76" t="n">
        <v>2849</v>
      </c>
      <c r="G10" s="77" t="n">
        <v>0.8504477611940299</v>
      </c>
      <c r="H10" s="76" t="n">
        <v>1416</v>
      </c>
      <c r="I10" s="78" t="n">
        <v>0.4226865671641791</v>
      </c>
      <c r="J10" s="76" t="n">
        <v>1100</v>
      </c>
      <c r="K10" s="76" t="n">
        <v>1067</v>
      </c>
      <c r="L10" s="77" t="n">
        <v>0.97</v>
      </c>
      <c r="M10" s="76" t="n">
        <v>5172</v>
      </c>
      <c r="N10" s="76" t="n">
        <v>5787</v>
      </c>
      <c r="O10" s="76" t="n">
        <v>5060</v>
      </c>
      <c r="P10" s="77" t="n">
        <v>0.9783449342614076</v>
      </c>
      <c r="Q10" s="76" t="n">
        <v>5</v>
      </c>
      <c r="R10" s="76" t="n">
        <v>0</v>
      </c>
      <c r="S10" s="76" t="n">
        <v>0</v>
      </c>
      <c r="T10" s="77" t="n">
        <v>0</v>
      </c>
      <c r="U10" s="76" t="n">
        <v>0</v>
      </c>
      <c r="V10" s="77" t="n">
        <v>0</v>
      </c>
      <c r="W10" s="76" t="n">
        <v>74</v>
      </c>
      <c r="X10" s="77" t="n">
        <v>0.02208955223880597</v>
      </c>
      <c r="Y10" s="76" t="n">
        <v>193</v>
      </c>
      <c r="Z10" s="79" t="n">
        <v>0.05761194029850746</v>
      </c>
      <c r="AA10" s="76" t="n">
        <v>0</v>
      </c>
      <c r="AB10" s="77" t="n">
        <v>0</v>
      </c>
      <c r="AC10" s="76" t="n">
        <v>571</v>
      </c>
      <c r="AD10" s="77" t="n">
        <v>0.1704477611940299</v>
      </c>
      <c r="AE10" s="76" t="n">
        <v>277</v>
      </c>
      <c r="AF10" s="77" t="n">
        <v>0.4851138353765324</v>
      </c>
      <c r="AG10" s="76" t="n">
        <v>526</v>
      </c>
      <c r="AH10" s="77" t="n">
        <v>0.9211908931698775</v>
      </c>
      <c r="AI10" s="80" t="n">
        <v>655</v>
      </c>
      <c r="AJ10" s="77" t="n">
        <v>0.1955223880597015</v>
      </c>
      <c r="AK10" s="80" t="n">
        <v>6</v>
      </c>
      <c r="AL10" s="77" t="n">
        <v>0.7709923664122137</v>
      </c>
      <c r="AM10" s="80" t="n">
        <v>653</v>
      </c>
      <c r="AN10" s="80" t="n">
        <v>505</v>
      </c>
      <c r="AO10" s="77" t="n">
        <v>0.1507462686567164</v>
      </c>
      <c r="AP10" s="77" t="n">
        <v>0.8844133099824869</v>
      </c>
      <c r="AQ10" s="78" t="n">
        <v>0.9634831460674157</v>
      </c>
      <c r="AR10" s="80" t="n">
        <v>223</v>
      </c>
      <c r="AS10" s="80" t="n">
        <v>0</v>
      </c>
      <c r="AT10" s="80" t="n">
        <v>0</v>
      </c>
      <c r="AU10" s="80" t="n">
        <v>0</v>
      </c>
      <c r="AV10" s="80" t="n">
        <v>0</v>
      </c>
      <c r="AW10" s="80" t="n">
        <v>0</v>
      </c>
      <c r="AX10" s="77" t="n">
        <v>0</v>
      </c>
      <c r="AY10" s="77" t="n">
        <v>0</v>
      </c>
      <c r="AZ10" s="77" t="n">
        <v>0</v>
      </c>
      <c r="BA10" s="77" t="n">
        <v>0</v>
      </c>
      <c r="BB10" s="80" t="n">
        <v>0</v>
      </c>
      <c r="BC10" s="80" t="n">
        <v>0</v>
      </c>
      <c r="BD10" s="78" t="n">
        <v>0.9910714285714286</v>
      </c>
      <c r="BE10" s="78" t="inlineStr">
        <is>
          <t>-</t>
        </is>
      </c>
      <c r="BF10" s="78" t="inlineStr">
        <is>
          <t>-</t>
        </is>
      </c>
    </row>
    <row r="11" ht="19.55" customHeight="1">
      <c r="A11" s="81" t="n">
        <v>8</v>
      </c>
      <c r="B11" s="76" t="inlineStr">
        <is>
          <t>全国</t>
        </is>
      </c>
      <c r="C11" s="82" t="n">
        <v>46114</v>
      </c>
      <c r="D11" s="76" t="inlineStr">
        <is>
          <t>天籁·鸿蒙座舱</t>
        </is>
      </c>
      <c r="E11" s="76" t="n">
        <v>2554</v>
      </c>
      <c r="F11" s="76" t="n">
        <v>2289</v>
      </c>
      <c r="G11" s="77" t="n">
        <v>0.8962411902897416</v>
      </c>
      <c r="H11" s="76" t="n">
        <v>1712</v>
      </c>
      <c r="I11" s="78" t="n">
        <v>0.6703210649960846</v>
      </c>
      <c r="J11" s="76" t="n">
        <v>2880</v>
      </c>
      <c r="K11" s="76" t="n">
        <v>2837</v>
      </c>
      <c r="L11" s="77" t="n">
        <v>0.985</v>
      </c>
      <c r="M11" s="76" t="n">
        <v>18247</v>
      </c>
      <c r="N11" s="76" t="n">
        <v>18018</v>
      </c>
      <c r="O11" s="76" t="n">
        <v>18008</v>
      </c>
      <c r="P11" s="77" t="n">
        <v>0.9869019564859977</v>
      </c>
      <c r="Q11" s="76" t="n">
        <v>26</v>
      </c>
      <c r="R11" s="76" t="n">
        <v>0</v>
      </c>
      <c r="S11" s="76" t="n">
        <v>0</v>
      </c>
      <c r="T11" s="77" t="n">
        <v>0</v>
      </c>
      <c r="U11" s="76" t="n">
        <v>0</v>
      </c>
      <c r="V11" s="77" t="n">
        <v>0</v>
      </c>
      <c r="W11" s="76" t="n">
        <v>2807</v>
      </c>
      <c r="X11" s="77" t="n">
        <v>1.099060297572435</v>
      </c>
      <c r="Y11" s="76" t="n">
        <v>880</v>
      </c>
      <c r="Z11" s="79" t="n">
        <v>0.3445575567736883</v>
      </c>
      <c r="AA11" s="76" t="n">
        <v>91</v>
      </c>
      <c r="AB11" s="77" t="n">
        <v>0.03563038371182459</v>
      </c>
      <c r="AC11" s="76" t="n">
        <v>398</v>
      </c>
      <c r="AD11" s="77" t="n">
        <v>0.1558339859044636</v>
      </c>
      <c r="AE11" s="76" t="n">
        <v>93</v>
      </c>
      <c r="AF11" s="77" t="n">
        <v>0.2336683417085427</v>
      </c>
      <c r="AG11" s="76" t="n">
        <v>373</v>
      </c>
      <c r="AH11" s="77" t="n">
        <v>0.9371859296482412</v>
      </c>
      <c r="AI11" s="80" t="n">
        <v>388</v>
      </c>
      <c r="AJ11" s="77" t="n">
        <v>0.1519185591229444</v>
      </c>
      <c r="AK11" s="80" t="n">
        <v>1</v>
      </c>
      <c r="AL11" s="77" t="n">
        <v>0.9381443298969072</v>
      </c>
      <c r="AM11" s="80" t="n">
        <v>385</v>
      </c>
      <c r="AN11" s="80" t="n">
        <v>364</v>
      </c>
      <c r="AO11" s="77" t="n">
        <v>0.1425215348472983</v>
      </c>
      <c r="AP11" s="77" t="n">
        <v>0.914572864321608</v>
      </c>
      <c r="AQ11" s="78" t="n">
        <v>0.984251968503937</v>
      </c>
      <c r="AR11" s="80" t="n">
        <v>0</v>
      </c>
      <c r="AS11" s="80" t="n">
        <v>0</v>
      </c>
      <c r="AT11" s="80" t="n">
        <v>46</v>
      </c>
      <c r="AU11" s="80" t="n">
        <v>42</v>
      </c>
      <c r="AV11" s="80" t="n">
        <v>43</v>
      </c>
      <c r="AW11" s="80" t="n">
        <v>78</v>
      </c>
      <c r="AX11" s="77" t="n">
        <v>0.01644479248238058</v>
      </c>
      <c r="AY11" s="77" t="n">
        <v>0.0168363351605325</v>
      </c>
      <c r="AZ11" s="77" t="n">
        <v>0.03054032889584965</v>
      </c>
      <c r="BA11" s="77" t="n">
        <v>0.1181318681318681</v>
      </c>
      <c r="BB11" s="80" t="n">
        <v>0</v>
      </c>
      <c r="BC11" s="80" t="n">
        <v>0</v>
      </c>
      <c r="BD11" s="78" t="n">
        <v>0.9772727272727273</v>
      </c>
      <c r="BE11" s="78" t="n">
        <v>1</v>
      </c>
      <c r="BF11" s="78" t="inlineStr">
        <is>
          <t>-</t>
        </is>
      </c>
    </row>
    <row r="12" ht="19.55" customHeight="1">
      <c r="A12" s="81" t="n">
        <v>9</v>
      </c>
      <c r="B12" s="76" t="inlineStr">
        <is>
          <t>全国</t>
        </is>
      </c>
      <c r="C12" s="82" t="n">
        <v>46115</v>
      </c>
      <c r="D12" s="76" t="inlineStr">
        <is>
          <t>N6</t>
        </is>
      </c>
      <c r="E12" s="76" t="n">
        <v>2317</v>
      </c>
      <c r="F12" s="76" t="n">
        <v>2003</v>
      </c>
      <c r="G12" s="77" t="n">
        <v>0.8644799309451877</v>
      </c>
      <c r="H12" s="76" t="n">
        <v>1114</v>
      </c>
      <c r="I12" s="78" t="n">
        <v>0.4807941303409581</v>
      </c>
      <c r="J12" s="76" t="n">
        <v>1917</v>
      </c>
      <c r="K12" s="76" t="n">
        <v>1866</v>
      </c>
      <c r="L12" s="77" t="n">
        <v>0.973</v>
      </c>
      <c r="M12" s="76" t="n">
        <v>10994</v>
      </c>
      <c r="N12" s="76" t="n">
        <v>10895</v>
      </c>
      <c r="O12" s="76" t="n">
        <v>10830</v>
      </c>
      <c r="P12" s="77" t="n">
        <v>0.9850827724213207</v>
      </c>
      <c r="Q12" s="76" t="n">
        <v>10</v>
      </c>
      <c r="R12" s="76" t="n">
        <v>0</v>
      </c>
      <c r="S12" s="76" t="n">
        <v>0</v>
      </c>
      <c r="T12" s="77" t="n">
        <v>0</v>
      </c>
      <c r="U12" s="76" t="n">
        <v>0</v>
      </c>
      <c r="V12" s="77" t="n">
        <v>0</v>
      </c>
      <c r="W12" s="76" t="n">
        <v>1674</v>
      </c>
      <c r="X12" s="77" t="n">
        <v>0.7224859732412603</v>
      </c>
      <c r="Y12" s="76" t="n">
        <v>300</v>
      </c>
      <c r="Z12" s="79" t="n">
        <v>0.1294777729823047</v>
      </c>
      <c r="AA12" s="76" t="n">
        <v>24</v>
      </c>
      <c r="AB12" s="77" t="n">
        <v>0.01035822183858438</v>
      </c>
      <c r="AC12" s="76" t="n">
        <v>182</v>
      </c>
      <c r="AD12" s="77" t="n">
        <v>0.07854984894259819</v>
      </c>
      <c r="AE12" s="76" t="n">
        <v>33</v>
      </c>
      <c r="AF12" s="77" t="n">
        <v>0.1813186813186813</v>
      </c>
      <c r="AG12" s="76" t="n">
        <v>171</v>
      </c>
      <c r="AH12" s="77" t="n">
        <v>0.9395604395604396</v>
      </c>
      <c r="AI12" s="80" t="n">
        <v>187</v>
      </c>
      <c r="AJ12" s="77" t="n">
        <v>0.08070781182563661</v>
      </c>
      <c r="AK12" s="80" t="n">
        <v>1</v>
      </c>
      <c r="AL12" s="77" t="n">
        <v>0.8770053475935828</v>
      </c>
      <c r="AM12" s="80" t="n">
        <v>186</v>
      </c>
      <c r="AN12" s="80" t="n">
        <v>164</v>
      </c>
      <c r="AO12" s="77" t="n">
        <v>0.07078118256365991</v>
      </c>
      <c r="AP12" s="77" t="n">
        <v>0.9010989010989011</v>
      </c>
      <c r="AQ12" s="78" t="n">
        <v>0.9669811320754716</v>
      </c>
      <c r="AR12" s="80" t="n">
        <v>0</v>
      </c>
      <c r="AS12" s="80" t="n">
        <v>0</v>
      </c>
      <c r="AT12" s="80" t="n">
        <v>48</v>
      </c>
      <c r="AU12" s="80" t="n">
        <v>42</v>
      </c>
      <c r="AV12" s="80" t="n">
        <v>38</v>
      </c>
      <c r="AW12" s="80" t="n">
        <v>70</v>
      </c>
      <c r="AX12" s="77" t="n">
        <v>0.01812688821752266</v>
      </c>
      <c r="AY12" s="77" t="n">
        <v>0.01640051791109193</v>
      </c>
      <c r="AZ12" s="77" t="n">
        <v>0.03021148036253777</v>
      </c>
      <c r="BA12" s="77" t="n">
        <v>0.2317073170731707</v>
      </c>
      <c r="BB12" s="80" t="n">
        <v>0</v>
      </c>
      <c r="BC12" s="80" t="n">
        <v>0</v>
      </c>
      <c r="BD12" s="78" t="n">
        <v>0.967741935483871</v>
      </c>
      <c r="BE12" s="78" t="n">
        <v>1</v>
      </c>
      <c r="BF12" s="78" t="inlineStr">
        <is>
          <t>-</t>
        </is>
      </c>
    </row>
    <row r="13" ht="19.55" customHeight="1">
      <c r="A13" s="81" t="n">
        <v>10</v>
      </c>
      <c r="B13" s="76" t="inlineStr">
        <is>
          <t>全国</t>
        </is>
      </c>
      <c r="C13" s="82" t="n">
        <v>46115</v>
      </c>
      <c r="D13" s="76" t="inlineStr">
        <is>
          <t>N7</t>
        </is>
      </c>
      <c r="E13" s="76" t="n">
        <v>2113</v>
      </c>
      <c r="F13" s="76" t="n">
        <v>1887</v>
      </c>
      <c r="G13" s="77" t="n">
        <v>0.8930430667297681</v>
      </c>
      <c r="H13" s="76" t="n">
        <v>1134</v>
      </c>
      <c r="I13" s="78" t="n">
        <v>0.5366777094178893</v>
      </c>
      <c r="J13" s="76" t="n">
        <v>1938</v>
      </c>
      <c r="K13" s="76" t="n">
        <v>1857</v>
      </c>
      <c r="L13" s="77" t="n">
        <v>0.958</v>
      </c>
      <c r="M13" s="76" t="n">
        <v>9596</v>
      </c>
      <c r="N13" s="76" t="n">
        <v>9632</v>
      </c>
      <c r="O13" s="76" t="n">
        <v>9425</v>
      </c>
      <c r="P13" s="77" t="n">
        <v>0.982180075031263</v>
      </c>
      <c r="Q13" s="76" t="n">
        <v>22</v>
      </c>
      <c r="R13" s="76" t="n">
        <v>0</v>
      </c>
      <c r="S13" s="76" t="n">
        <v>0</v>
      </c>
      <c r="T13" s="77" t="n">
        <v>0</v>
      </c>
      <c r="U13" s="76" t="n">
        <v>0</v>
      </c>
      <c r="V13" s="77" t="n">
        <v>0</v>
      </c>
      <c r="W13" s="76" t="n">
        <v>1586</v>
      </c>
      <c r="X13" s="77" t="n">
        <v>0.750591575958353</v>
      </c>
      <c r="Y13" s="76" t="n">
        <v>486</v>
      </c>
      <c r="Z13" s="79" t="n">
        <v>0.2300047326076668</v>
      </c>
      <c r="AA13" s="76" t="n">
        <v>17</v>
      </c>
      <c r="AB13" s="77" t="n">
        <v>0.008045433033601515</v>
      </c>
      <c r="AC13" s="76" t="n">
        <v>247</v>
      </c>
      <c r="AD13" s="77" t="n">
        <v>0.1168954093705632</v>
      </c>
      <c r="AE13" s="76" t="n">
        <v>31</v>
      </c>
      <c r="AF13" s="77" t="n">
        <v>0.1255060728744939</v>
      </c>
      <c r="AG13" s="76" t="n">
        <v>235</v>
      </c>
      <c r="AH13" s="77" t="n">
        <v>0.951417004048583</v>
      </c>
      <c r="AI13" s="80" t="n">
        <v>241</v>
      </c>
      <c r="AJ13" s="77" t="n">
        <v>0.1140558447704685</v>
      </c>
      <c r="AK13" s="80" t="n">
        <v>1</v>
      </c>
      <c r="AL13" s="77" t="n">
        <v>0.8921161825726142</v>
      </c>
      <c r="AM13" s="80" t="n">
        <v>239</v>
      </c>
      <c r="AN13" s="80" t="n">
        <v>215</v>
      </c>
      <c r="AO13" s="77" t="n">
        <v>0.101751064836725</v>
      </c>
      <c r="AP13" s="77" t="n">
        <v>0.8704453441295547</v>
      </c>
      <c r="AQ13" s="78" t="n">
        <v>0.9692982456140351</v>
      </c>
      <c r="AR13" s="80" t="n">
        <v>0</v>
      </c>
      <c r="AS13" s="80" t="n">
        <v>0</v>
      </c>
      <c r="AT13" s="80" t="n">
        <v>38</v>
      </c>
      <c r="AU13" s="80" t="n">
        <v>33</v>
      </c>
      <c r="AV13" s="80" t="n">
        <v>37</v>
      </c>
      <c r="AW13" s="80" t="n">
        <v>59</v>
      </c>
      <c r="AX13" s="77" t="n">
        <v>0.01561760530052059</v>
      </c>
      <c r="AY13" s="77" t="n">
        <v>0.01751064836725036</v>
      </c>
      <c r="AZ13" s="77" t="n">
        <v>0.02792238523426408</v>
      </c>
      <c r="BA13" s="77" t="n">
        <v>0.172093023255814</v>
      </c>
      <c r="BB13" s="80" t="n">
        <v>0</v>
      </c>
      <c r="BC13" s="80" t="n">
        <v>0</v>
      </c>
      <c r="BD13" s="78" t="n">
        <v>1</v>
      </c>
      <c r="BE13" s="78" t="n">
        <v>1</v>
      </c>
      <c r="BF13" s="78" t="inlineStr">
        <is>
          <t>-</t>
        </is>
      </c>
    </row>
    <row r="14" ht="19.55" customHeight="1">
      <c r="A14" s="81" t="n">
        <v>11</v>
      </c>
      <c r="B14" s="76" t="inlineStr">
        <is>
          <t>全国</t>
        </is>
      </c>
      <c r="C14" s="82" t="n">
        <v>46115</v>
      </c>
      <c r="D14" s="76" t="inlineStr">
        <is>
          <t>NX8</t>
        </is>
      </c>
      <c r="E14" s="76" t="n">
        <v>2629</v>
      </c>
      <c r="F14" s="76" t="n">
        <v>2407</v>
      </c>
      <c r="G14" s="77" t="n">
        <v>0.9155572461011792</v>
      </c>
      <c r="H14" s="76" t="n">
        <v>780</v>
      </c>
      <c r="I14" s="78" t="n">
        <v>0.296690756941803</v>
      </c>
      <c r="J14" s="76" t="n">
        <v>2038</v>
      </c>
      <c r="K14" s="76" t="n">
        <v>1982</v>
      </c>
      <c r="L14" s="77" t="n">
        <v>0.973</v>
      </c>
      <c r="M14" s="76" t="n">
        <v>6944</v>
      </c>
      <c r="N14" s="76" t="n">
        <v>7111</v>
      </c>
      <c r="O14" s="76" t="n">
        <v>6793</v>
      </c>
      <c r="P14" s="77" t="n">
        <v>0.9782546082949308</v>
      </c>
      <c r="Q14" s="76" t="n">
        <v>13</v>
      </c>
      <c r="R14" s="76" t="n">
        <v>0</v>
      </c>
      <c r="S14" s="76" t="n">
        <v>0</v>
      </c>
      <c r="T14" s="77" t="n">
        <v>0</v>
      </c>
      <c r="U14" s="76" t="n">
        <v>0</v>
      </c>
      <c r="V14" s="77" t="n">
        <v>0</v>
      </c>
      <c r="W14" s="76" t="n">
        <v>76</v>
      </c>
      <c r="X14" s="77" t="n">
        <v>0.02890833016356029</v>
      </c>
      <c r="Y14" s="76" t="n">
        <v>239</v>
      </c>
      <c r="Z14" s="79" t="n">
        <v>0.09090909090909091</v>
      </c>
      <c r="AA14" s="76" t="n">
        <v>0</v>
      </c>
      <c r="AB14" s="77" t="n">
        <v>0</v>
      </c>
      <c r="AC14" s="76" t="n">
        <v>723</v>
      </c>
      <c r="AD14" s="77" t="n">
        <v>0.2750095093191328</v>
      </c>
      <c r="AE14" s="76" t="n">
        <v>328</v>
      </c>
      <c r="AF14" s="77" t="n">
        <v>0.4536652835408022</v>
      </c>
      <c r="AG14" s="76" t="n">
        <v>665</v>
      </c>
      <c r="AH14" s="77" t="n">
        <v>0.9197786998616874</v>
      </c>
      <c r="AI14" s="80" t="n">
        <v>865</v>
      </c>
      <c r="AJ14" s="77" t="n">
        <v>0.3290224419931533</v>
      </c>
      <c r="AK14" s="80" t="n">
        <v>3</v>
      </c>
      <c r="AL14" s="77" t="n">
        <v>0.8450867052023121</v>
      </c>
      <c r="AM14" s="80" t="n">
        <v>861</v>
      </c>
      <c r="AN14" s="80" t="n">
        <v>731</v>
      </c>
      <c r="AO14" s="77" t="n">
        <v>0.2780524914416128</v>
      </c>
      <c r="AP14" s="77" t="n">
        <v>1.011065006915629</v>
      </c>
      <c r="AQ14" s="78" t="n">
        <v>0.9424242424242424</v>
      </c>
      <c r="AR14" s="80" t="n">
        <v>249</v>
      </c>
      <c r="AS14" s="80" t="n">
        <v>1</v>
      </c>
      <c r="AT14" s="80" t="n">
        <v>0</v>
      </c>
      <c r="AU14" s="80" t="n">
        <v>0</v>
      </c>
      <c r="AV14" s="80" t="n">
        <v>0</v>
      </c>
      <c r="AW14" s="80" t="n">
        <v>0</v>
      </c>
      <c r="AX14" s="77" t="n">
        <v>0</v>
      </c>
      <c r="AY14" s="77" t="n">
        <v>0</v>
      </c>
      <c r="AZ14" s="77" t="n">
        <v>0</v>
      </c>
      <c r="BA14" s="77" t="n">
        <v>0</v>
      </c>
      <c r="BB14" s="80" t="n">
        <v>0</v>
      </c>
      <c r="BC14" s="80" t="n">
        <v>0</v>
      </c>
      <c r="BD14" s="78" t="n">
        <v>1</v>
      </c>
      <c r="BE14" s="78" t="inlineStr">
        <is>
          <t>-</t>
        </is>
      </c>
      <c r="BF14" s="78" t="inlineStr">
        <is>
          <t>-</t>
        </is>
      </c>
    </row>
    <row r="15" ht="19.55" customHeight="1">
      <c r="A15" s="81" t="n">
        <v>12</v>
      </c>
      <c r="B15" s="76" t="inlineStr">
        <is>
          <t>全国</t>
        </is>
      </c>
      <c r="C15" s="82" t="n">
        <v>46115</v>
      </c>
      <c r="D15" s="76" t="inlineStr">
        <is>
          <t>天籁·鸿蒙座舱</t>
        </is>
      </c>
      <c r="E15" s="76" t="n">
        <v>2515</v>
      </c>
      <c r="F15" s="76" t="n">
        <v>2220</v>
      </c>
      <c r="G15" s="77" t="n">
        <v>0.882703777335984</v>
      </c>
      <c r="H15" s="76" t="n">
        <v>1674</v>
      </c>
      <c r="I15" s="78" t="n">
        <v>0.6656063618290259</v>
      </c>
      <c r="J15" s="76" t="n">
        <v>3733</v>
      </c>
      <c r="K15" s="76" t="n">
        <v>3661</v>
      </c>
      <c r="L15" s="77" t="n">
        <v>0.981</v>
      </c>
      <c r="M15" s="76" t="n">
        <v>19640</v>
      </c>
      <c r="N15" s="76" t="n">
        <v>19623</v>
      </c>
      <c r="O15" s="76" t="n">
        <v>19197</v>
      </c>
      <c r="P15" s="77" t="n">
        <v>0.9774439918533605</v>
      </c>
      <c r="Q15" s="76" t="n">
        <v>21</v>
      </c>
      <c r="R15" s="76" t="n">
        <v>0</v>
      </c>
      <c r="S15" s="76" t="n">
        <v>0</v>
      </c>
      <c r="T15" s="77" t="n">
        <v>0</v>
      </c>
      <c r="U15" s="76" t="n">
        <v>0</v>
      </c>
      <c r="V15" s="77" t="n">
        <v>0</v>
      </c>
      <c r="W15" s="76" t="n">
        <v>2351</v>
      </c>
      <c r="X15" s="77" t="n">
        <v>0.9347912524850894</v>
      </c>
      <c r="Y15" s="76" t="n">
        <v>500</v>
      </c>
      <c r="Z15" s="79" t="n">
        <v>0.1988071570576541</v>
      </c>
      <c r="AA15" s="76" t="n">
        <v>111</v>
      </c>
      <c r="AB15" s="77" t="n">
        <v>0.04413518886679921</v>
      </c>
      <c r="AC15" s="76" t="n">
        <v>421</v>
      </c>
      <c r="AD15" s="77" t="n">
        <v>0.1673956262425447</v>
      </c>
      <c r="AE15" s="76" t="n">
        <v>62</v>
      </c>
      <c r="AF15" s="77" t="n">
        <v>0.1472684085510689</v>
      </c>
      <c r="AG15" s="76" t="n">
        <v>397</v>
      </c>
      <c r="AH15" s="77" t="n">
        <v>0.9429928741092637</v>
      </c>
      <c r="AI15" s="80" t="n">
        <v>425</v>
      </c>
      <c r="AJ15" s="77" t="n">
        <v>0.168986083499006</v>
      </c>
      <c r="AK15" s="80" t="n">
        <v>1</v>
      </c>
      <c r="AL15" s="77" t="n">
        <v>0.9294117647058824</v>
      </c>
      <c r="AM15" s="80" t="n">
        <v>422</v>
      </c>
      <c r="AN15" s="80" t="n">
        <v>395</v>
      </c>
      <c r="AO15" s="77" t="n">
        <v>0.1570576540755467</v>
      </c>
      <c r="AP15" s="77" t="n">
        <v>0.9382422802850356</v>
      </c>
      <c r="AQ15" s="78" t="n">
        <v>0.9814814814814815</v>
      </c>
      <c r="AR15" s="80" t="n">
        <v>0</v>
      </c>
      <c r="AS15" s="80" t="n">
        <v>0</v>
      </c>
      <c r="AT15" s="80" t="n">
        <v>61</v>
      </c>
      <c r="AU15" s="80" t="n">
        <v>53</v>
      </c>
      <c r="AV15" s="80" t="n">
        <v>50</v>
      </c>
      <c r="AW15" s="80" t="n">
        <v>111</v>
      </c>
      <c r="AX15" s="77" t="n">
        <v>0.02107355864811133</v>
      </c>
      <c r="AY15" s="77" t="n">
        <v>0.01988071570576541</v>
      </c>
      <c r="AZ15" s="77" t="n">
        <v>0.04413518886679921</v>
      </c>
      <c r="BA15" s="77" t="n">
        <v>0.1265822784810127</v>
      </c>
      <c r="BB15" s="80" t="n">
        <v>0</v>
      </c>
      <c r="BC15" s="80" t="n">
        <v>0</v>
      </c>
      <c r="BD15" s="78" t="n">
        <v>1</v>
      </c>
      <c r="BE15" s="78" t="n">
        <v>1</v>
      </c>
      <c r="BF15" s="78" t="inlineStr">
        <is>
          <t>-</t>
        </is>
      </c>
    </row>
    <row r="16" ht="19.55" customHeight="1">
      <c r="A16" s="81" t="n">
        <v>13</v>
      </c>
      <c r="B16" s="76" t="inlineStr">
        <is>
          <t>全国</t>
        </is>
      </c>
      <c r="C16" s="82" t="n">
        <v>46116</v>
      </c>
      <c r="D16" s="76" t="inlineStr">
        <is>
          <t>N6</t>
        </is>
      </c>
      <c r="E16" s="76" t="n">
        <v>3043</v>
      </c>
      <c r="F16" s="76" t="n">
        <v>2605</v>
      </c>
      <c r="G16" s="77" t="n">
        <v>0.8560630956293132</v>
      </c>
      <c r="H16" s="76" t="n">
        <v>2138</v>
      </c>
      <c r="I16" s="78" t="n">
        <v>0.7025961222477818</v>
      </c>
      <c r="J16" s="76" t="n">
        <v>3417</v>
      </c>
      <c r="K16" s="76" t="n">
        <v>3336</v>
      </c>
      <c r="L16" s="77" t="n">
        <v>0.976</v>
      </c>
      <c r="M16" s="76" t="n">
        <v>12041</v>
      </c>
      <c r="N16" s="76" t="n">
        <v>12752</v>
      </c>
      <c r="O16" s="76" t="n">
        <v>11860</v>
      </c>
      <c r="P16" s="77" t="n">
        <v>0.9849680259114691</v>
      </c>
      <c r="Q16" s="76" t="n">
        <v>24</v>
      </c>
      <c r="R16" s="76" t="n">
        <v>0</v>
      </c>
      <c r="S16" s="76" t="n">
        <v>0</v>
      </c>
      <c r="T16" s="77" t="n">
        <v>0</v>
      </c>
      <c r="U16" s="76" t="n">
        <v>0</v>
      </c>
      <c r="V16" s="77" t="n">
        <v>0</v>
      </c>
      <c r="W16" s="76" t="n">
        <v>1646</v>
      </c>
      <c r="X16" s="77" t="n">
        <v>0.5409135721327637</v>
      </c>
      <c r="Y16" s="76" t="n">
        <v>916</v>
      </c>
      <c r="Z16" s="79" t="n">
        <v>0.3010187315149523</v>
      </c>
      <c r="AA16" s="76" t="n">
        <v>36</v>
      </c>
      <c r="AB16" s="77" t="n">
        <v>0.01183043049622083</v>
      </c>
      <c r="AC16" s="76" t="n">
        <v>400</v>
      </c>
      <c r="AD16" s="77" t="n">
        <v>0.131449227735787</v>
      </c>
      <c r="AE16" s="76" t="n">
        <v>49</v>
      </c>
      <c r="AF16" s="77" t="n">
        <v>0.1225</v>
      </c>
      <c r="AG16" s="76" t="n">
        <v>376</v>
      </c>
      <c r="AH16" s="77" t="n">
        <v>0.9399999999999999</v>
      </c>
      <c r="AI16" s="80" t="n">
        <v>398</v>
      </c>
      <c r="AJ16" s="77" t="n">
        <v>0.1307919815971081</v>
      </c>
      <c r="AK16" s="80" t="n">
        <v>1</v>
      </c>
      <c r="AL16" s="77" t="n">
        <v>0.8492462311557789</v>
      </c>
      <c r="AM16" s="80" t="n">
        <v>398</v>
      </c>
      <c r="AN16" s="80" t="n">
        <v>338</v>
      </c>
      <c r="AO16" s="77" t="n">
        <v>0.1110745974367401</v>
      </c>
      <c r="AP16" s="77" t="n">
        <v>0.845</v>
      </c>
      <c r="AQ16" s="78" t="n">
        <v>0.9513513513513514</v>
      </c>
      <c r="AR16" s="80" t="n">
        <v>0</v>
      </c>
      <c r="AS16" s="80" t="n">
        <v>0</v>
      </c>
      <c r="AT16" s="80" t="n">
        <v>70</v>
      </c>
      <c r="AU16" s="80" t="n">
        <v>65</v>
      </c>
      <c r="AV16" s="80" t="n">
        <v>65</v>
      </c>
      <c r="AW16" s="80" t="n">
        <v>46</v>
      </c>
      <c r="AX16" s="77" t="n">
        <v>0.02136049950706539</v>
      </c>
      <c r="AY16" s="77" t="n">
        <v>0.02136049950706539</v>
      </c>
      <c r="AZ16" s="77" t="n">
        <v>0.01511666118961551</v>
      </c>
      <c r="BA16" s="77" t="n">
        <v>0.1923076923076923</v>
      </c>
      <c r="BB16" s="80" t="n">
        <v>0</v>
      </c>
      <c r="BC16" s="80" t="n">
        <v>1</v>
      </c>
      <c r="BD16" s="78" t="n">
        <v>0.9302325581395349</v>
      </c>
      <c r="BE16" s="78" t="n">
        <v>0.875</v>
      </c>
      <c r="BF16" s="78" t="inlineStr">
        <is>
          <t>-</t>
        </is>
      </c>
    </row>
    <row r="17" ht="25.6" customHeight="1">
      <c r="A17" s="81" t="n">
        <v>14</v>
      </c>
      <c r="B17" s="76" t="inlineStr">
        <is>
          <t>全国</t>
        </is>
      </c>
      <c r="C17" s="82" t="n">
        <v>46116</v>
      </c>
      <c r="D17" s="76" t="inlineStr">
        <is>
          <t>N7</t>
        </is>
      </c>
      <c r="E17" s="76" t="n">
        <v>1813</v>
      </c>
      <c r="F17" s="76" t="n">
        <v>1654</v>
      </c>
      <c r="G17" s="77" t="n">
        <v>0.912300055157198</v>
      </c>
      <c r="H17" s="76" t="n">
        <v>872</v>
      </c>
      <c r="I17" s="78" t="n">
        <v>0.4809707666850524</v>
      </c>
      <c r="J17" s="76" t="n">
        <v>1473</v>
      </c>
      <c r="K17" s="76" t="n">
        <v>1403</v>
      </c>
      <c r="L17" s="77" t="n">
        <v>0.952</v>
      </c>
      <c r="M17" s="76" t="n">
        <v>8575</v>
      </c>
      <c r="N17" s="76" t="n">
        <v>8910</v>
      </c>
      <c r="O17" s="76" t="n">
        <v>8430</v>
      </c>
      <c r="P17" s="77" t="n">
        <v>0.9830903790087464</v>
      </c>
      <c r="Q17" s="76" t="n">
        <v>40</v>
      </c>
      <c r="R17" s="76" t="n">
        <v>0</v>
      </c>
      <c r="S17" s="76" t="n">
        <v>0</v>
      </c>
      <c r="T17" s="77" t="n">
        <v>0</v>
      </c>
      <c r="U17" s="76" t="n">
        <v>0</v>
      </c>
      <c r="V17" s="77" t="n">
        <v>0</v>
      </c>
      <c r="W17" s="76" t="n">
        <v>2033</v>
      </c>
      <c r="X17" s="77" t="n">
        <v>1.12134583563155</v>
      </c>
      <c r="Y17" s="76" t="n">
        <v>2186</v>
      </c>
      <c r="Z17" s="79" t="n">
        <v>1.205736348593492</v>
      </c>
      <c r="AA17" s="76" t="n">
        <v>21</v>
      </c>
      <c r="AB17" s="77" t="n">
        <v>0.01158301158301158</v>
      </c>
      <c r="AC17" s="76" t="n">
        <v>478</v>
      </c>
      <c r="AD17" s="77" t="n">
        <v>0.2636514065085493</v>
      </c>
      <c r="AE17" s="76" t="n">
        <v>49</v>
      </c>
      <c r="AF17" s="77" t="n">
        <v>0.102510460251046</v>
      </c>
      <c r="AG17" s="76" t="n">
        <v>448</v>
      </c>
      <c r="AH17" s="77" t="n">
        <v>0.9372384937238494</v>
      </c>
      <c r="AI17" s="80" t="n">
        <v>457</v>
      </c>
      <c r="AJ17" s="77" t="n">
        <v>0.2520683949255378</v>
      </c>
      <c r="AK17" s="80" t="n">
        <v>4</v>
      </c>
      <c r="AL17" s="77" t="n">
        <v>0.8555798687089715</v>
      </c>
      <c r="AM17" s="80" t="n">
        <v>452</v>
      </c>
      <c r="AN17" s="80" t="n">
        <v>391</v>
      </c>
      <c r="AO17" s="77" t="n">
        <v>0.2156646442360728</v>
      </c>
      <c r="AP17" s="77" t="n">
        <v>0.8179916317991632</v>
      </c>
      <c r="AQ17" s="78" t="n">
        <v>0.9821428571428571</v>
      </c>
      <c r="AR17" s="80" t="n">
        <v>0</v>
      </c>
      <c r="AS17" s="80" t="n">
        <v>0</v>
      </c>
      <c r="AT17" s="80" t="n">
        <v>47</v>
      </c>
      <c r="AU17" s="80" t="n">
        <v>47</v>
      </c>
      <c r="AV17" s="80" t="n">
        <v>43</v>
      </c>
      <c r="AW17" s="80" t="n">
        <v>19</v>
      </c>
      <c r="AX17" s="77" t="n">
        <v>0.02592388306674021</v>
      </c>
      <c r="AY17" s="77" t="n">
        <v>0.02371759514616658</v>
      </c>
      <c r="AZ17" s="77" t="n">
        <v>0.01047986762272477</v>
      </c>
      <c r="BA17" s="77" t="n">
        <v>0.1099744245524297</v>
      </c>
      <c r="BB17" s="80" t="n">
        <v>0</v>
      </c>
      <c r="BC17" s="80" t="n">
        <v>0</v>
      </c>
      <c r="BD17" s="78" t="n">
        <v>1</v>
      </c>
      <c r="BE17" s="78" t="n">
        <v>1</v>
      </c>
      <c r="BF17" s="78" t="inlineStr">
        <is>
          <t>-</t>
        </is>
      </c>
    </row>
    <row r="18" ht="19.55" customHeight="1">
      <c r="A18" s="81" t="n">
        <v>15</v>
      </c>
      <c r="B18" s="76" t="inlineStr">
        <is>
          <t>全国</t>
        </is>
      </c>
      <c r="C18" s="82" t="n">
        <v>46116</v>
      </c>
      <c r="D18" s="76" t="inlineStr">
        <is>
          <t>NX8</t>
        </is>
      </c>
      <c r="E18" s="76" t="n">
        <v>3053</v>
      </c>
      <c r="F18" s="76" t="n">
        <v>2764</v>
      </c>
      <c r="G18" s="77" t="n">
        <v>0.9053390108090403</v>
      </c>
      <c r="H18" s="76" t="n">
        <v>1139</v>
      </c>
      <c r="I18" s="78" t="n">
        <v>0.3730756632820177</v>
      </c>
      <c r="J18" s="76" t="n">
        <v>1511</v>
      </c>
      <c r="K18" s="76" t="n">
        <v>1450</v>
      </c>
      <c r="L18" s="77" t="n">
        <v>0.96</v>
      </c>
      <c r="M18" s="76" t="n">
        <v>7127</v>
      </c>
      <c r="N18" s="76" t="n">
        <v>7827</v>
      </c>
      <c r="O18" s="76" t="n">
        <v>6960</v>
      </c>
      <c r="P18" s="77" t="n">
        <v>0.9765679809176372</v>
      </c>
      <c r="Q18" s="76" t="n">
        <v>13</v>
      </c>
      <c r="R18" s="76" t="n">
        <v>0</v>
      </c>
      <c r="S18" s="76" t="n">
        <v>0</v>
      </c>
      <c r="T18" s="77" t="n">
        <v>0</v>
      </c>
      <c r="U18" s="76" t="n">
        <v>0</v>
      </c>
      <c r="V18" s="77" t="n">
        <v>0</v>
      </c>
      <c r="W18" s="76" t="n">
        <v>86</v>
      </c>
      <c r="X18" s="77" t="n">
        <v>0.02816901408450704</v>
      </c>
      <c r="Y18" s="76" t="n">
        <v>309</v>
      </c>
      <c r="Z18" s="79" t="n">
        <v>0.1012119226989846</v>
      </c>
      <c r="AA18" s="76" t="n">
        <v>0</v>
      </c>
      <c r="AB18" s="77" t="n">
        <v>0</v>
      </c>
      <c r="AC18" s="76" t="n">
        <v>1244</v>
      </c>
      <c r="AD18" s="77" t="n">
        <v>0.4074680641991484</v>
      </c>
      <c r="AE18" s="76" t="n">
        <v>411</v>
      </c>
      <c r="AF18" s="77" t="n">
        <v>0.3303858520900321</v>
      </c>
      <c r="AG18" s="76" t="n">
        <v>1162</v>
      </c>
      <c r="AH18" s="77" t="n">
        <v>0.9340836012861736</v>
      </c>
      <c r="AI18" s="80" t="n">
        <v>1386</v>
      </c>
      <c r="AJ18" s="77" t="n">
        <v>0.4539796921061251</v>
      </c>
      <c r="AK18" s="80" t="n">
        <v>11</v>
      </c>
      <c r="AL18" s="77" t="n">
        <v>0.8405483405483406</v>
      </c>
      <c r="AM18" s="80" t="n">
        <v>1380</v>
      </c>
      <c r="AN18" s="80" t="n">
        <v>1165</v>
      </c>
      <c r="AO18" s="77" t="n">
        <v>0.3815918768424501</v>
      </c>
      <c r="AP18" s="77" t="n">
        <v>0.9364951768488746</v>
      </c>
      <c r="AQ18" s="78" t="n">
        <v>0.96</v>
      </c>
      <c r="AR18" s="80" t="n">
        <v>475</v>
      </c>
      <c r="AS18" s="80" t="n">
        <v>0</v>
      </c>
      <c r="AT18" s="80" t="n">
        <v>0</v>
      </c>
      <c r="AU18" s="80" t="n">
        <v>0</v>
      </c>
      <c r="AV18" s="80" t="n">
        <v>0</v>
      </c>
      <c r="AW18" s="80" t="n">
        <v>0</v>
      </c>
      <c r="AX18" s="77" t="n">
        <v>0</v>
      </c>
      <c r="AY18" s="77" t="n">
        <v>0</v>
      </c>
      <c r="AZ18" s="77" t="n">
        <v>0</v>
      </c>
      <c r="BA18" s="77" t="n">
        <v>0</v>
      </c>
      <c r="BB18" s="80" t="n">
        <v>0</v>
      </c>
      <c r="BC18" s="80" t="n">
        <v>0</v>
      </c>
      <c r="BD18" s="78" t="n">
        <v>0.9789915966386554</v>
      </c>
      <c r="BE18" s="78" t="inlineStr">
        <is>
          <t>-</t>
        </is>
      </c>
      <c r="BF18" s="78" t="inlineStr">
        <is>
          <t>-</t>
        </is>
      </c>
    </row>
    <row r="19" ht="19.55" customHeight="1">
      <c r="A19" s="81" t="n">
        <v>16</v>
      </c>
      <c r="B19" s="76" t="inlineStr">
        <is>
          <t>全国</t>
        </is>
      </c>
      <c r="C19" s="82" t="n">
        <v>46116</v>
      </c>
      <c r="D19" s="76" t="inlineStr">
        <is>
          <t>天籁·鸿蒙座舱</t>
        </is>
      </c>
      <c r="E19" s="76" t="n">
        <v>2270</v>
      </c>
      <c r="F19" s="76" t="n">
        <v>2051</v>
      </c>
      <c r="G19" s="77" t="n">
        <v>0.9035242290748898</v>
      </c>
      <c r="H19" s="76" t="n">
        <v>1502</v>
      </c>
      <c r="I19" s="78" t="n">
        <v>0.6616740088105727</v>
      </c>
      <c r="J19" s="76" t="n">
        <v>2834</v>
      </c>
      <c r="K19" s="76" t="n">
        <v>2753</v>
      </c>
      <c r="L19" s="77" t="n">
        <v>0.971</v>
      </c>
      <c r="M19" s="76" t="n">
        <v>18267</v>
      </c>
      <c r="N19" s="76" t="n">
        <v>19126</v>
      </c>
      <c r="O19" s="76" t="n">
        <v>18009</v>
      </c>
      <c r="P19" s="77" t="n">
        <v>0.9858761701428806</v>
      </c>
      <c r="Q19" s="76" t="n">
        <v>31</v>
      </c>
      <c r="R19" s="76" t="n">
        <v>0</v>
      </c>
      <c r="S19" s="76" t="n">
        <v>0</v>
      </c>
      <c r="T19" s="77" t="n">
        <v>0</v>
      </c>
      <c r="U19" s="76" t="n">
        <v>0</v>
      </c>
      <c r="V19" s="77" t="n">
        <v>0</v>
      </c>
      <c r="W19" s="76" t="n">
        <v>2170</v>
      </c>
      <c r="X19" s="77" t="n">
        <v>0.9559471365638766</v>
      </c>
      <c r="Y19" s="76" t="n">
        <v>1404</v>
      </c>
      <c r="Z19" s="79" t="n">
        <v>0.6185022026431718</v>
      </c>
      <c r="AA19" s="76" t="n">
        <v>102</v>
      </c>
      <c r="AB19" s="77" t="n">
        <v>0.04493392070484582</v>
      </c>
      <c r="AC19" s="76" t="n">
        <v>755</v>
      </c>
      <c r="AD19" s="77" t="n">
        <v>0.3325991189427313</v>
      </c>
      <c r="AE19" s="76" t="n">
        <v>88</v>
      </c>
      <c r="AF19" s="77" t="n">
        <v>0.1165562913907285</v>
      </c>
      <c r="AG19" s="76" t="n">
        <v>703</v>
      </c>
      <c r="AH19" s="77" t="n">
        <v>0.9311258278145695</v>
      </c>
      <c r="AI19" s="80" t="n">
        <v>736</v>
      </c>
      <c r="AJ19" s="77" t="n">
        <v>0.3242290748898679</v>
      </c>
      <c r="AK19" s="80" t="n">
        <v>5</v>
      </c>
      <c r="AL19" s="77" t="n">
        <v>0.9334239130434783</v>
      </c>
      <c r="AM19" s="80" t="n">
        <v>734</v>
      </c>
      <c r="AN19" s="80" t="n">
        <v>687</v>
      </c>
      <c r="AO19" s="77" t="n">
        <v>0.3026431718061674</v>
      </c>
      <c r="AP19" s="77" t="n">
        <v>0.909933774834437</v>
      </c>
      <c r="AQ19" s="78" t="n">
        <v>0.9641148325358851</v>
      </c>
      <c r="AR19" s="80" t="n">
        <v>0</v>
      </c>
      <c r="AS19" s="80" t="n">
        <v>0</v>
      </c>
      <c r="AT19" s="80" t="n">
        <v>89</v>
      </c>
      <c r="AU19" s="80" t="n">
        <v>87</v>
      </c>
      <c r="AV19" s="80" t="n">
        <v>82</v>
      </c>
      <c r="AW19" s="80" t="n">
        <v>63</v>
      </c>
      <c r="AX19" s="77" t="n">
        <v>0.03832599118942731</v>
      </c>
      <c r="AY19" s="77" t="n">
        <v>0.03612334801762115</v>
      </c>
      <c r="AZ19" s="77" t="n">
        <v>0.02775330396475771</v>
      </c>
      <c r="BA19" s="77" t="n">
        <v>0.1193595342066958</v>
      </c>
      <c r="BB19" s="80" t="n">
        <v>0</v>
      </c>
      <c r="BC19" s="80" t="n">
        <v>0</v>
      </c>
      <c r="BD19" s="78" t="n">
        <v>0.9864864864864865</v>
      </c>
      <c r="BE19" s="78" t="n">
        <v>1</v>
      </c>
      <c r="BF19" s="78" t="inlineStr">
        <is>
          <t>-</t>
        </is>
      </c>
    </row>
    <row r="20" ht="19.55" customHeight="1">
      <c r="A20" s="81" t="n">
        <v>17</v>
      </c>
      <c r="B20" s="76" t="inlineStr">
        <is>
          <t>全国</t>
        </is>
      </c>
      <c r="C20" s="82" t="n">
        <v>46117</v>
      </c>
      <c r="D20" s="76" t="inlineStr">
        <is>
          <t>N6</t>
        </is>
      </c>
      <c r="E20" s="76" t="n">
        <v>2793</v>
      </c>
      <c r="F20" s="76" t="n">
        <v>2429</v>
      </c>
      <c r="G20" s="77" t="n">
        <v>0.8696741854636592</v>
      </c>
      <c r="H20" s="76" t="n">
        <v>2022</v>
      </c>
      <c r="I20" s="78" t="n">
        <v>0.723952738990333</v>
      </c>
      <c r="J20" s="76" t="n">
        <v>3197</v>
      </c>
      <c r="K20" s="76" t="n">
        <v>3119</v>
      </c>
      <c r="L20" s="77" t="n">
        <v>0.976</v>
      </c>
      <c r="M20" s="76" t="n">
        <v>11991</v>
      </c>
      <c r="N20" s="76" t="n">
        <v>12328</v>
      </c>
      <c r="O20" s="76" t="n">
        <v>11808</v>
      </c>
      <c r="P20" s="77" t="n">
        <v>0.9847385539154366</v>
      </c>
      <c r="Q20" s="76" t="n">
        <v>19</v>
      </c>
      <c r="R20" s="76" t="n">
        <v>0</v>
      </c>
      <c r="S20" s="76" t="n">
        <v>0</v>
      </c>
      <c r="T20" s="77" t="n">
        <v>0</v>
      </c>
      <c r="U20" s="76" t="n">
        <v>0</v>
      </c>
      <c r="V20" s="77" t="n">
        <v>0</v>
      </c>
      <c r="W20" s="76" t="n">
        <v>480</v>
      </c>
      <c r="X20" s="77" t="n">
        <v>0.1718582169709989</v>
      </c>
      <c r="Y20" s="76" t="n">
        <v>506</v>
      </c>
      <c r="Z20" s="79" t="n">
        <v>0.1811672037235947</v>
      </c>
      <c r="AA20" s="76" t="n">
        <v>42</v>
      </c>
      <c r="AB20" s="77" t="n">
        <v>0.01503759398496241</v>
      </c>
      <c r="AC20" s="76" t="n">
        <v>409</v>
      </c>
      <c r="AD20" s="77" t="n">
        <v>0.146437522377372</v>
      </c>
      <c r="AE20" s="76" t="n">
        <v>49</v>
      </c>
      <c r="AF20" s="77" t="n">
        <v>0.1198044009779951</v>
      </c>
      <c r="AG20" s="76" t="n">
        <v>375</v>
      </c>
      <c r="AH20" s="77" t="n">
        <v>0.9168704156479217</v>
      </c>
      <c r="AI20" s="80" t="n">
        <v>395</v>
      </c>
      <c r="AJ20" s="77" t="n">
        <v>0.1414249910490512</v>
      </c>
      <c r="AK20" s="80" t="n">
        <v>1</v>
      </c>
      <c r="AL20" s="77" t="n">
        <v>0.8835443037974684</v>
      </c>
      <c r="AM20" s="80" t="n">
        <v>395</v>
      </c>
      <c r="AN20" s="80" t="n">
        <v>349</v>
      </c>
      <c r="AO20" s="77" t="n">
        <v>0.1249552452559971</v>
      </c>
      <c r="AP20" s="77" t="n">
        <v>0.8533007334963325</v>
      </c>
      <c r="AQ20" s="78" t="n">
        <v>0.9758713136729222</v>
      </c>
      <c r="AR20" s="80" t="n">
        <v>0</v>
      </c>
      <c r="AS20" s="80" t="n">
        <v>0</v>
      </c>
      <c r="AT20" s="80" t="n">
        <v>70</v>
      </c>
      <c r="AU20" s="80" t="n">
        <v>67</v>
      </c>
      <c r="AV20" s="80" t="n">
        <v>75</v>
      </c>
      <c r="AW20" s="80" t="n">
        <v>31</v>
      </c>
      <c r="AX20" s="77" t="n">
        <v>0.02398854278553527</v>
      </c>
      <c r="AY20" s="77" t="n">
        <v>0.02685284640171858</v>
      </c>
      <c r="AZ20" s="77" t="n">
        <v>0.01109917651271035</v>
      </c>
      <c r="BA20" s="77" t="n">
        <v>0.2148997134670487</v>
      </c>
      <c r="BB20" s="80" t="n">
        <v>0</v>
      </c>
      <c r="BC20" s="80" t="n">
        <v>0</v>
      </c>
      <c r="BD20" s="78" t="n">
        <v>1</v>
      </c>
      <c r="BE20" s="78" t="n">
        <v>1</v>
      </c>
      <c r="BF20" s="78" t="inlineStr">
        <is>
          <t>-</t>
        </is>
      </c>
    </row>
    <row r="21" ht="19.55" customHeight="1">
      <c r="A21" s="81" t="n">
        <v>18</v>
      </c>
      <c r="B21" s="76" t="inlineStr">
        <is>
          <t>全国</t>
        </is>
      </c>
      <c r="C21" s="82" t="n">
        <v>46117</v>
      </c>
      <c r="D21" s="76" t="inlineStr">
        <is>
          <t>N7</t>
        </is>
      </c>
      <c r="E21" s="76" t="n">
        <v>1887</v>
      </c>
      <c r="F21" s="76" t="n">
        <v>1699</v>
      </c>
      <c r="G21" s="77" t="n">
        <v>0.9003709591944886</v>
      </c>
      <c r="H21" s="76" t="n">
        <v>877</v>
      </c>
      <c r="I21" s="78" t="n">
        <v>0.4647588765235824</v>
      </c>
      <c r="J21" s="76" t="n">
        <v>1306</v>
      </c>
      <c r="K21" s="76" t="n">
        <v>1223</v>
      </c>
      <c r="L21" s="77" t="n">
        <v>0.9360000000000001</v>
      </c>
      <c r="M21" s="76" t="n">
        <v>8950</v>
      </c>
      <c r="N21" s="76" t="n">
        <v>8670</v>
      </c>
      <c r="O21" s="76" t="n">
        <v>8769</v>
      </c>
      <c r="P21" s="77" t="n">
        <v>0.9797765363128491</v>
      </c>
      <c r="Q21" s="76" t="n">
        <v>40</v>
      </c>
      <c r="R21" s="76" t="n">
        <v>0</v>
      </c>
      <c r="S21" s="76" t="n">
        <v>0</v>
      </c>
      <c r="T21" s="77" t="n">
        <v>0</v>
      </c>
      <c r="U21" s="76" t="n">
        <v>0</v>
      </c>
      <c r="V21" s="77" t="n">
        <v>0</v>
      </c>
      <c r="W21" s="76" t="n">
        <v>451</v>
      </c>
      <c r="X21" s="77" t="n">
        <v>0.2390037095919449</v>
      </c>
      <c r="Y21" s="76" t="n">
        <v>515</v>
      </c>
      <c r="Z21" s="79" t="n">
        <v>0.2729199788023318</v>
      </c>
      <c r="AA21" s="76" t="n">
        <v>19</v>
      </c>
      <c r="AB21" s="77" t="n">
        <v>0.0100688924218336</v>
      </c>
      <c r="AC21" s="76" t="n">
        <v>378</v>
      </c>
      <c r="AD21" s="77" t="n">
        <v>0.2003179650238474</v>
      </c>
      <c r="AE21" s="76" t="n">
        <v>62</v>
      </c>
      <c r="AF21" s="77" t="n">
        <v>0.164021164021164</v>
      </c>
      <c r="AG21" s="76" t="n">
        <v>357</v>
      </c>
      <c r="AH21" s="77" t="n">
        <v>0.9444444444444444</v>
      </c>
      <c r="AI21" s="80" t="n">
        <v>389</v>
      </c>
      <c r="AJ21" s="77" t="n">
        <v>0.2061473237943826</v>
      </c>
      <c r="AK21" s="80" t="n">
        <v>1</v>
      </c>
      <c r="AL21" s="77" t="n">
        <v>0.8663239074550129</v>
      </c>
      <c r="AM21" s="80" t="n">
        <v>385</v>
      </c>
      <c r="AN21" s="80" t="n">
        <v>337</v>
      </c>
      <c r="AO21" s="77" t="n">
        <v>0.1785903550609433</v>
      </c>
      <c r="AP21" s="77" t="n">
        <v>0.8915343915343915</v>
      </c>
      <c r="AQ21" s="78" t="n">
        <v>0.9657534246575342</v>
      </c>
      <c r="AR21" s="80" t="n">
        <v>0</v>
      </c>
      <c r="AS21" s="80" t="n">
        <v>0</v>
      </c>
      <c r="AT21" s="80" t="n">
        <v>45</v>
      </c>
      <c r="AU21" s="80" t="n">
        <v>39</v>
      </c>
      <c r="AV21" s="80" t="n">
        <v>39</v>
      </c>
      <c r="AW21" s="80" t="n">
        <v>7</v>
      </c>
      <c r="AX21" s="77" t="n">
        <v>0.02066772655007949</v>
      </c>
      <c r="AY21" s="77" t="n">
        <v>0.02066772655007949</v>
      </c>
      <c r="AZ21" s="77" t="n">
        <v>0.003709591944886063</v>
      </c>
      <c r="BA21" s="77" t="n">
        <v>0.115727002967359</v>
      </c>
      <c r="BB21" s="80" t="n">
        <v>0</v>
      </c>
      <c r="BC21" s="80" t="n">
        <v>0</v>
      </c>
      <c r="BD21" s="78" t="n">
        <v>1</v>
      </c>
      <c r="BE21" s="78" t="n">
        <v>1</v>
      </c>
      <c r="BF21" s="78" t="inlineStr">
        <is>
          <t>-</t>
        </is>
      </c>
    </row>
    <row r="22" ht="19.55" customHeight="1">
      <c r="A22" s="81" t="n">
        <v>19</v>
      </c>
      <c r="B22" s="76" t="inlineStr">
        <is>
          <t>全国</t>
        </is>
      </c>
      <c r="C22" s="82" t="n">
        <v>46117</v>
      </c>
      <c r="D22" s="76" t="inlineStr">
        <is>
          <t>NX8</t>
        </is>
      </c>
      <c r="E22" s="76" t="n">
        <v>3141</v>
      </c>
      <c r="F22" s="76" t="n">
        <v>2850</v>
      </c>
      <c r="G22" s="77" t="n">
        <v>0.9073543457497613</v>
      </c>
      <c r="H22" s="76" t="n">
        <v>1171</v>
      </c>
      <c r="I22" s="78" t="n">
        <v>0.3728112066220949</v>
      </c>
      <c r="J22" s="76" t="n">
        <v>1559</v>
      </c>
      <c r="K22" s="76" t="n">
        <v>1491</v>
      </c>
      <c r="L22" s="77" t="n">
        <v>0.956</v>
      </c>
      <c r="M22" s="76" t="n">
        <v>8159</v>
      </c>
      <c r="N22" s="76" t="n">
        <v>8058</v>
      </c>
      <c r="O22" s="76" t="n">
        <v>7963</v>
      </c>
      <c r="P22" s="77" t="n">
        <v>0.9759774482166932</v>
      </c>
      <c r="Q22" s="76" t="n">
        <v>18</v>
      </c>
      <c r="R22" s="76" t="n">
        <v>0</v>
      </c>
      <c r="S22" s="76" t="n">
        <v>0</v>
      </c>
      <c r="T22" s="77" t="n">
        <v>0</v>
      </c>
      <c r="U22" s="76" t="n">
        <v>0</v>
      </c>
      <c r="V22" s="77" t="n">
        <v>0</v>
      </c>
      <c r="W22" s="76" t="n">
        <v>119</v>
      </c>
      <c r="X22" s="77" t="n">
        <v>0.03788602355937599</v>
      </c>
      <c r="Y22" s="76" t="n">
        <v>284</v>
      </c>
      <c r="Z22" s="79" t="n">
        <v>0.09041706462909901</v>
      </c>
      <c r="AA22" s="76" t="n">
        <v>0</v>
      </c>
      <c r="AB22" s="77" t="n">
        <v>0</v>
      </c>
      <c r="AC22" s="76" t="n">
        <v>1163</v>
      </c>
      <c r="AD22" s="77" t="n">
        <v>0.370264247055078</v>
      </c>
      <c r="AE22" s="76" t="n">
        <v>360</v>
      </c>
      <c r="AF22" s="77" t="n">
        <v>0.3095442820292347</v>
      </c>
      <c r="AG22" s="76" t="n">
        <v>1084</v>
      </c>
      <c r="AH22" s="77" t="n">
        <v>0.9320722269991402</v>
      </c>
      <c r="AI22" s="80" t="n">
        <v>1315</v>
      </c>
      <c r="AJ22" s="77" t="n">
        <v>0.4186564788283986</v>
      </c>
      <c r="AK22" s="80" t="n">
        <v>10</v>
      </c>
      <c r="AL22" s="77" t="n">
        <v>0.8494296577946768</v>
      </c>
      <c r="AM22" s="80" t="n">
        <v>1310</v>
      </c>
      <c r="AN22" s="80" t="n">
        <v>1117</v>
      </c>
      <c r="AO22" s="77" t="n">
        <v>0.355619229544731</v>
      </c>
      <c r="AP22" s="77" t="n">
        <v>0.9604471195184867</v>
      </c>
      <c r="AQ22" s="78" t="n">
        <v>0.9634235552304315</v>
      </c>
      <c r="AR22" s="80" t="n">
        <v>519</v>
      </c>
      <c r="AS22" s="80" t="n">
        <v>0</v>
      </c>
      <c r="AT22" s="80" t="n">
        <v>0</v>
      </c>
      <c r="AU22" s="80" t="n">
        <v>0</v>
      </c>
      <c r="AV22" s="80" t="n">
        <v>0</v>
      </c>
      <c r="AW22" s="80" t="n">
        <v>0</v>
      </c>
      <c r="AX22" s="77" t="n">
        <v>0</v>
      </c>
      <c r="AY22" s="77" t="n">
        <v>0</v>
      </c>
      <c r="AZ22" s="77" t="n">
        <v>0</v>
      </c>
      <c r="BA22" s="77" t="n">
        <v>0</v>
      </c>
      <c r="BB22" s="80" t="n">
        <v>0</v>
      </c>
      <c r="BC22" s="80" t="n">
        <v>1</v>
      </c>
      <c r="BD22" s="78" t="n">
        <v>0.9593908629441624</v>
      </c>
      <c r="BE22" s="78" t="inlineStr">
        <is>
          <t>-</t>
        </is>
      </c>
      <c r="BF22" s="78" t="inlineStr">
        <is>
          <t>-</t>
        </is>
      </c>
    </row>
    <row r="23" ht="19.55" customHeight="1">
      <c r="A23" s="81" t="n">
        <v>20</v>
      </c>
      <c r="B23" s="76" t="inlineStr">
        <is>
          <t>全国</t>
        </is>
      </c>
      <c r="C23" s="82" t="n">
        <v>46117</v>
      </c>
      <c r="D23" s="76" t="inlineStr">
        <is>
          <t>天籁·鸿蒙座舱</t>
        </is>
      </c>
      <c r="E23" s="76" t="n">
        <v>2465</v>
      </c>
      <c r="F23" s="76" t="n">
        <v>2268</v>
      </c>
      <c r="G23" s="77" t="n">
        <v>0.920081135902637</v>
      </c>
      <c r="H23" s="76" t="n">
        <v>1610</v>
      </c>
      <c r="I23" s="78" t="n">
        <v>0.6531440162271805</v>
      </c>
      <c r="J23" s="76" t="n">
        <v>2965</v>
      </c>
      <c r="K23" s="76" t="n">
        <v>2904</v>
      </c>
      <c r="L23" s="77" t="n">
        <v>0.979</v>
      </c>
      <c r="M23" s="76" t="n">
        <v>18130</v>
      </c>
      <c r="N23" s="76" t="n">
        <v>18075</v>
      </c>
      <c r="O23" s="76" t="n">
        <v>17917</v>
      </c>
      <c r="P23" s="77" t="n">
        <v>0.9882515168229454</v>
      </c>
      <c r="Q23" s="76" t="n">
        <v>23</v>
      </c>
      <c r="R23" s="76" t="n">
        <v>0</v>
      </c>
      <c r="S23" s="76" t="n">
        <v>0</v>
      </c>
      <c r="T23" s="77" t="n">
        <v>0</v>
      </c>
      <c r="U23" s="76" t="n">
        <v>0</v>
      </c>
      <c r="V23" s="77" t="n">
        <v>0</v>
      </c>
      <c r="W23" s="76" t="n">
        <v>531</v>
      </c>
      <c r="X23" s="77" t="n">
        <v>0.2154158215010142</v>
      </c>
      <c r="Y23" s="76" t="n">
        <v>592</v>
      </c>
      <c r="Z23" s="79" t="n">
        <v>0.2401622718052738</v>
      </c>
      <c r="AA23" s="76" t="n">
        <v>108</v>
      </c>
      <c r="AB23" s="77" t="n">
        <v>0.04381338742393509</v>
      </c>
      <c r="AC23" s="76" t="n">
        <v>753</v>
      </c>
      <c r="AD23" s="77" t="n">
        <v>0.3054766734279919</v>
      </c>
      <c r="AE23" s="76" t="n">
        <v>83</v>
      </c>
      <c r="AF23" s="77" t="n">
        <v>0.1102257636122178</v>
      </c>
      <c r="AG23" s="76" t="n">
        <v>712</v>
      </c>
      <c r="AH23" s="77" t="n">
        <v>0.9455511288180611</v>
      </c>
      <c r="AI23" s="80" t="n">
        <v>717</v>
      </c>
      <c r="AJ23" s="77" t="n">
        <v>0.2908722109533469</v>
      </c>
      <c r="AK23" s="80" t="n">
        <v>5</v>
      </c>
      <c r="AL23" s="77" t="n">
        <v>0.9525801952580195</v>
      </c>
      <c r="AM23" s="80" t="n">
        <v>715</v>
      </c>
      <c r="AN23" s="80" t="n">
        <v>683</v>
      </c>
      <c r="AO23" s="77" t="n">
        <v>0.277079107505071</v>
      </c>
      <c r="AP23" s="77" t="n">
        <v>0.9070385126162018</v>
      </c>
      <c r="AQ23" s="78" t="n">
        <v>0.9648382559774965</v>
      </c>
      <c r="AR23" s="80" t="n">
        <v>0</v>
      </c>
      <c r="AS23" s="80" t="n">
        <v>0</v>
      </c>
      <c r="AT23" s="80" t="n">
        <v>99</v>
      </c>
      <c r="AU23" s="80" t="n">
        <v>95</v>
      </c>
      <c r="AV23" s="80" t="n">
        <v>92</v>
      </c>
      <c r="AW23" s="80" t="n">
        <v>46</v>
      </c>
      <c r="AX23" s="77" t="n">
        <v>0.0385395537525355</v>
      </c>
      <c r="AY23" s="77" t="n">
        <v>0.03732251521298174</v>
      </c>
      <c r="AZ23" s="77" t="n">
        <v>0.01866125760649087</v>
      </c>
      <c r="BA23" s="77" t="n">
        <v>0.1346998535871157</v>
      </c>
      <c r="BB23" s="80" t="n">
        <v>0</v>
      </c>
      <c r="BC23" s="80" t="n">
        <v>0</v>
      </c>
      <c r="BD23" s="78" t="n">
        <v>0.9655172413793104</v>
      </c>
      <c r="BE23" s="78" t="n">
        <v>1</v>
      </c>
      <c r="BF23" s="78" t="inlineStr">
        <is>
          <t>-</t>
        </is>
      </c>
    </row>
    <row r="24" ht="19.55" customHeight="1">
      <c r="A24" s="81" t="n">
        <v>21</v>
      </c>
      <c r="B24" s="76" t="inlineStr">
        <is>
          <t>全国</t>
        </is>
      </c>
      <c r="C24" s="82" t="n">
        <v>46118</v>
      </c>
      <c r="D24" s="76" t="inlineStr">
        <is>
          <t>N6</t>
        </is>
      </c>
      <c r="E24" s="76" t="n">
        <v>1906</v>
      </c>
      <c r="F24" s="76" t="n">
        <v>1658</v>
      </c>
      <c r="G24" s="77" t="n">
        <v>0.869884575026233</v>
      </c>
      <c r="H24" s="76" t="n">
        <v>861</v>
      </c>
      <c r="I24" s="78" t="n">
        <v>0.4517313746065058</v>
      </c>
      <c r="J24" s="76" t="n">
        <v>2214</v>
      </c>
      <c r="K24" s="76" t="n">
        <v>2159</v>
      </c>
      <c r="L24" s="77" t="n">
        <v>0.975</v>
      </c>
      <c r="M24" s="76" t="n">
        <v>11245</v>
      </c>
      <c r="N24" s="76" t="n">
        <v>10968</v>
      </c>
      <c r="O24" s="76" t="n">
        <v>11107</v>
      </c>
      <c r="P24" s="77" t="n">
        <v>0.9877278790573588</v>
      </c>
      <c r="Q24" s="76" t="n">
        <v>17</v>
      </c>
      <c r="R24" s="76" t="n">
        <v>0</v>
      </c>
      <c r="S24" s="76" t="n">
        <v>0</v>
      </c>
      <c r="T24" s="77" t="n">
        <v>0</v>
      </c>
      <c r="U24" s="76" t="n">
        <v>0</v>
      </c>
      <c r="V24" s="77" t="n">
        <v>0</v>
      </c>
      <c r="W24" s="76" t="n">
        <v>1951</v>
      </c>
      <c r="X24" s="77" t="n">
        <v>1.023609653725079</v>
      </c>
      <c r="Y24" s="76" t="n">
        <v>450</v>
      </c>
      <c r="Z24" s="79" t="n">
        <v>0.236096537250787</v>
      </c>
      <c r="AA24" s="76" t="n">
        <v>36</v>
      </c>
      <c r="AB24" s="77" t="n">
        <v>0.01888772298006296</v>
      </c>
      <c r="AC24" s="76" t="n">
        <v>349</v>
      </c>
      <c r="AD24" s="77" t="n">
        <v>0.183105981112277</v>
      </c>
      <c r="AE24" s="76" t="n">
        <v>43</v>
      </c>
      <c r="AF24" s="77" t="n">
        <v>0.1232091690544413</v>
      </c>
      <c r="AG24" s="76" t="n">
        <v>326</v>
      </c>
      <c r="AH24" s="77" t="n">
        <v>0.9340974212034384</v>
      </c>
      <c r="AI24" s="80" t="n">
        <v>336</v>
      </c>
      <c r="AJ24" s="77" t="n">
        <v>0.1762854144805876</v>
      </c>
      <c r="AK24" s="80" t="n">
        <v>0</v>
      </c>
      <c r="AL24" s="77" t="n">
        <v>0.8928571428571429</v>
      </c>
      <c r="AM24" s="80" t="n">
        <v>334</v>
      </c>
      <c r="AN24" s="80" t="n">
        <v>300</v>
      </c>
      <c r="AO24" s="77" t="n">
        <v>0.1573976915005247</v>
      </c>
      <c r="AP24" s="77" t="n">
        <v>0.8595988538681948</v>
      </c>
      <c r="AQ24" s="78" t="n">
        <v>0.9736147757255936</v>
      </c>
      <c r="AR24" s="80" t="n">
        <v>0</v>
      </c>
      <c r="AS24" s="80" t="n">
        <v>0</v>
      </c>
      <c r="AT24" s="80" t="n">
        <v>88</v>
      </c>
      <c r="AU24" s="80" t="n">
        <v>87</v>
      </c>
      <c r="AV24" s="80" t="n">
        <v>84</v>
      </c>
      <c r="AW24" s="80" t="n">
        <v>37</v>
      </c>
      <c r="AX24" s="77" t="n">
        <v>0.04564533053515215</v>
      </c>
      <c r="AY24" s="77" t="n">
        <v>0.04407135362014691</v>
      </c>
      <c r="AZ24" s="77" t="n">
        <v>0.01941238195173137</v>
      </c>
      <c r="BA24" s="77" t="n">
        <v>0.28</v>
      </c>
      <c r="BB24" s="80" t="n">
        <v>0</v>
      </c>
      <c r="BC24" s="80" t="n">
        <v>0</v>
      </c>
      <c r="BD24" s="78" t="n">
        <v>0.9743589743589743</v>
      </c>
      <c r="BE24" s="78" t="n">
        <v>1</v>
      </c>
      <c r="BF24" s="78" t="inlineStr">
        <is>
          <t>-</t>
        </is>
      </c>
    </row>
    <row r="25" ht="19.55" customHeight="1">
      <c r="A25" s="81" t="n">
        <v>22</v>
      </c>
      <c r="B25" s="76" t="inlineStr">
        <is>
          <t>全国</t>
        </is>
      </c>
      <c r="C25" s="82" t="n">
        <v>46118</v>
      </c>
      <c r="D25" s="76" t="inlineStr">
        <is>
          <t>N7</t>
        </is>
      </c>
      <c r="E25" s="76" t="n">
        <v>2831</v>
      </c>
      <c r="F25" s="76" t="n">
        <v>2490</v>
      </c>
      <c r="G25" s="77" t="n">
        <v>0.8795478629459554</v>
      </c>
      <c r="H25" s="76" t="n">
        <v>2056</v>
      </c>
      <c r="I25" s="78" t="n">
        <v>0.7262451430589898</v>
      </c>
      <c r="J25" s="76" t="n">
        <v>2636</v>
      </c>
      <c r="K25" s="76" t="n">
        <v>2562</v>
      </c>
      <c r="L25" s="77" t="n">
        <v>0.972</v>
      </c>
      <c r="M25" s="76" t="n">
        <v>10221</v>
      </c>
      <c r="N25" s="76" t="n">
        <v>10169</v>
      </c>
      <c r="O25" s="76" t="n">
        <v>10072</v>
      </c>
      <c r="P25" s="77" t="n">
        <v>0.9854221700420702</v>
      </c>
      <c r="Q25" s="76" t="n">
        <v>37</v>
      </c>
      <c r="R25" s="76" t="n">
        <v>0</v>
      </c>
      <c r="S25" s="76" t="n">
        <v>0</v>
      </c>
      <c r="T25" s="77" t="n">
        <v>0</v>
      </c>
      <c r="U25" s="76" t="n">
        <v>0</v>
      </c>
      <c r="V25" s="77" t="n">
        <v>0</v>
      </c>
      <c r="W25" s="76" t="n">
        <v>2066</v>
      </c>
      <c r="X25" s="77" t="n">
        <v>0.7297774637937124</v>
      </c>
      <c r="Y25" s="76" t="n">
        <v>534</v>
      </c>
      <c r="Z25" s="79" t="n">
        <v>0.1886259272341929</v>
      </c>
      <c r="AA25" s="76" t="n">
        <v>23</v>
      </c>
      <c r="AB25" s="77" t="n">
        <v>0.008124337689862239</v>
      </c>
      <c r="AC25" s="76" t="n">
        <v>399</v>
      </c>
      <c r="AD25" s="77" t="n">
        <v>0.1409395973154362</v>
      </c>
      <c r="AE25" s="76" t="n">
        <v>66</v>
      </c>
      <c r="AF25" s="77" t="n">
        <v>0.1654135338345865</v>
      </c>
      <c r="AG25" s="76" t="n">
        <v>369</v>
      </c>
      <c r="AH25" s="77" t="n">
        <v>0.924812030075188</v>
      </c>
      <c r="AI25" s="80" t="n">
        <v>395</v>
      </c>
      <c r="AJ25" s="77" t="n">
        <v>0.1395266690215471</v>
      </c>
      <c r="AK25" s="80" t="n">
        <v>0</v>
      </c>
      <c r="AL25" s="77" t="n">
        <v>0.8582278481012658</v>
      </c>
      <c r="AM25" s="80" t="n">
        <v>397</v>
      </c>
      <c r="AN25" s="80" t="n">
        <v>339</v>
      </c>
      <c r="AO25" s="77" t="n">
        <v>0.1197456729071</v>
      </c>
      <c r="AP25" s="77" t="n">
        <v>0.8496240601503759</v>
      </c>
      <c r="AQ25" s="78" t="n">
        <v>0.964769647696477</v>
      </c>
      <c r="AR25" s="80" t="n">
        <v>0</v>
      </c>
      <c r="AS25" s="80" t="n">
        <v>0</v>
      </c>
      <c r="AT25" s="80" t="n">
        <v>59</v>
      </c>
      <c r="AU25" s="80" t="n">
        <v>57</v>
      </c>
      <c r="AV25" s="80" t="n">
        <v>56</v>
      </c>
      <c r="AW25" s="80" t="n">
        <v>17</v>
      </c>
      <c r="AX25" s="77" t="n">
        <v>0.02013422818791946</v>
      </c>
      <c r="AY25" s="77" t="n">
        <v>0.01978099611444719</v>
      </c>
      <c r="AZ25" s="77" t="n">
        <v>0.006004945249028612</v>
      </c>
      <c r="BA25" s="77" t="n">
        <v>0.1651917404129793</v>
      </c>
      <c r="BB25" s="80" t="n">
        <v>0</v>
      </c>
      <c r="BC25" s="80" t="n">
        <v>1</v>
      </c>
      <c r="BD25" s="78" t="n">
        <v>0.9615384615384616</v>
      </c>
      <c r="BE25" s="78" t="n">
        <v>1</v>
      </c>
      <c r="BF25" s="78" t="inlineStr">
        <is>
          <t>-</t>
        </is>
      </c>
    </row>
    <row r="26" ht="19.55" customHeight="1">
      <c r="A26" s="81" t="n">
        <v>23</v>
      </c>
      <c r="B26" s="76" t="inlineStr">
        <is>
          <t>全国</t>
        </is>
      </c>
      <c r="C26" s="82" t="n">
        <v>46118</v>
      </c>
      <c r="D26" s="76" t="inlineStr">
        <is>
          <t>NX8</t>
        </is>
      </c>
      <c r="E26" s="76" t="n">
        <v>2839</v>
      </c>
      <c r="F26" s="76" t="n">
        <v>2554</v>
      </c>
      <c r="G26" s="77" t="n">
        <v>0.8996125396266291</v>
      </c>
      <c r="H26" s="76" t="n">
        <v>1159</v>
      </c>
      <c r="I26" s="78" t="n">
        <v>0.4082423388517084</v>
      </c>
      <c r="J26" s="76" t="n">
        <v>1779</v>
      </c>
      <c r="K26" s="76" t="n">
        <v>1726</v>
      </c>
      <c r="L26" s="77" t="n">
        <v>0.97</v>
      </c>
      <c r="M26" s="76" t="n">
        <v>8926</v>
      </c>
      <c r="N26" s="76" t="n">
        <v>8899</v>
      </c>
      <c r="O26" s="76" t="n">
        <v>8715</v>
      </c>
      <c r="P26" s="77" t="n">
        <v>0.9763611920233027</v>
      </c>
      <c r="Q26" s="76" t="n">
        <v>13</v>
      </c>
      <c r="R26" s="76" t="n">
        <v>0</v>
      </c>
      <c r="S26" s="76" t="n">
        <v>0</v>
      </c>
      <c r="T26" s="77" t="n">
        <v>0</v>
      </c>
      <c r="U26" s="76" t="n">
        <v>0</v>
      </c>
      <c r="V26" s="77" t="n">
        <v>0</v>
      </c>
      <c r="W26" s="76" t="n">
        <v>103</v>
      </c>
      <c r="X26" s="77" t="n">
        <v>0.03628038041563931</v>
      </c>
      <c r="Y26" s="76" t="n">
        <v>285</v>
      </c>
      <c r="Z26" s="79" t="n">
        <v>0.1003874603733709</v>
      </c>
      <c r="AA26" s="76" t="n">
        <v>0</v>
      </c>
      <c r="AB26" s="77" t="n">
        <v>0</v>
      </c>
      <c r="AC26" s="76" t="n">
        <v>1232</v>
      </c>
      <c r="AD26" s="77" t="n">
        <v>0.4339556181754139</v>
      </c>
      <c r="AE26" s="76" t="n">
        <v>374</v>
      </c>
      <c r="AF26" s="77" t="n">
        <v>0.3035714285714285</v>
      </c>
      <c r="AG26" s="76" t="n">
        <v>1147</v>
      </c>
      <c r="AH26" s="77" t="n">
        <v>0.9310064935064936</v>
      </c>
      <c r="AI26" s="80" t="n">
        <v>1357</v>
      </c>
      <c r="AJ26" s="77" t="n">
        <v>0.4779852060584713</v>
      </c>
      <c r="AK26" s="80" t="n">
        <v>10</v>
      </c>
      <c r="AL26" s="77" t="n">
        <v>0.8592483419307295</v>
      </c>
      <c r="AM26" s="80" t="n">
        <v>1358</v>
      </c>
      <c r="AN26" s="80" t="n">
        <v>1166</v>
      </c>
      <c r="AO26" s="77" t="n">
        <v>0.4107079957731596</v>
      </c>
      <c r="AP26" s="77" t="n">
        <v>0.9464285714285714</v>
      </c>
      <c r="AQ26" s="78" t="n">
        <v>0.9518716577540107</v>
      </c>
      <c r="AR26" s="80" t="n">
        <v>626</v>
      </c>
      <c r="AS26" s="80" t="n">
        <v>0</v>
      </c>
      <c r="AT26" s="80" t="n">
        <v>0</v>
      </c>
      <c r="AU26" s="80" t="n">
        <v>0</v>
      </c>
      <c r="AV26" s="80" t="n">
        <v>0</v>
      </c>
      <c r="AW26" s="80" t="n">
        <v>0</v>
      </c>
      <c r="AX26" s="77" t="n">
        <v>0</v>
      </c>
      <c r="AY26" s="77" t="n">
        <v>0</v>
      </c>
      <c r="AZ26" s="77" t="n">
        <v>0</v>
      </c>
      <c r="BA26" s="77" t="n">
        <v>0</v>
      </c>
      <c r="BB26" s="80" t="n">
        <v>0</v>
      </c>
      <c r="BC26" s="80" t="n">
        <v>0</v>
      </c>
      <c r="BD26" s="78" t="n">
        <v>0.9838709677419355</v>
      </c>
      <c r="BE26" s="78" t="inlineStr">
        <is>
          <t>-</t>
        </is>
      </c>
      <c r="BF26" s="78" t="inlineStr">
        <is>
          <t>-</t>
        </is>
      </c>
    </row>
    <row r="27" ht="19.55" customHeight="1">
      <c r="A27" s="81" t="n">
        <v>24</v>
      </c>
      <c r="B27" s="76" t="inlineStr">
        <is>
          <t>全国</t>
        </is>
      </c>
      <c r="C27" s="82" t="n">
        <v>46118</v>
      </c>
      <c r="D27" s="76" t="inlineStr">
        <is>
          <t>天籁·鸿蒙座舱</t>
        </is>
      </c>
      <c r="E27" s="76" t="n">
        <v>2717</v>
      </c>
      <c r="F27" s="76" t="n">
        <v>2448</v>
      </c>
      <c r="G27" s="77" t="n">
        <v>0.9009937430990063</v>
      </c>
      <c r="H27" s="76" t="n">
        <v>1691</v>
      </c>
      <c r="I27" s="78" t="n">
        <v>0.6223776223776224</v>
      </c>
      <c r="J27" s="76" t="n">
        <v>3145</v>
      </c>
      <c r="K27" s="76" t="n">
        <v>3086</v>
      </c>
      <c r="L27" s="77" t="n">
        <v>0.981</v>
      </c>
      <c r="M27" s="76" t="n">
        <v>18663</v>
      </c>
      <c r="N27" s="76" t="n">
        <v>18181</v>
      </c>
      <c r="O27" s="76" t="n">
        <v>18457</v>
      </c>
      <c r="P27" s="77" t="n">
        <v>0.9889621175588061</v>
      </c>
      <c r="Q27" s="76" t="n">
        <v>24</v>
      </c>
      <c r="R27" s="76" t="n">
        <v>0</v>
      </c>
      <c r="S27" s="76" t="n">
        <v>0</v>
      </c>
      <c r="T27" s="77" t="n">
        <v>0</v>
      </c>
      <c r="U27" s="76" t="n">
        <v>0</v>
      </c>
      <c r="V27" s="77" t="n">
        <v>0</v>
      </c>
      <c r="W27" s="76" t="n">
        <v>3420</v>
      </c>
      <c r="X27" s="77" t="n">
        <v>1.258741258741259</v>
      </c>
      <c r="Y27" s="76" t="n">
        <v>600</v>
      </c>
      <c r="Z27" s="79" t="n">
        <v>0.2208317997791682</v>
      </c>
      <c r="AA27" s="76" t="n">
        <v>110</v>
      </c>
      <c r="AB27" s="77" t="n">
        <v>0.04048582995951417</v>
      </c>
      <c r="AC27" s="76" t="n">
        <v>610</v>
      </c>
      <c r="AD27" s="77" t="n">
        <v>0.2245123297754877</v>
      </c>
      <c r="AE27" s="76" t="n">
        <v>98</v>
      </c>
      <c r="AF27" s="77" t="n">
        <v>0.160655737704918</v>
      </c>
      <c r="AG27" s="76" t="n">
        <v>577</v>
      </c>
      <c r="AH27" s="77" t="n">
        <v>0.9459016393442623</v>
      </c>
      <c r="AI27" s="80" t="n">
        <v>606</v>
      </c>
      <c r="AJ27" s="77" t="n">
        <v>0.2230401177769599</v>
      </c>
      <c r="AK27" s="80" t="n">
        <v>3</v>
      </c>
      <c r="AL27" s="77" t="n">
        <v>0.9422442244224423</v>
      </c>
      <c r="AM27" s="80" t="n">
        <v>603</v>
      </c>
      <c r="AN27" s="80" t="n">
        <v>571</v>
      </c>
      <c r="AO27" s="77" t="n">
        <v>0.2101582627898417</v>
      </c>
      <c r="AP27" s="77" t="n">
        <v>0.9360655737704918</v>
      </c>
      <c r="AQ27" s="78" t="n">
        <v>0.9746835443037974</v>
      </c>
      <c r="AR27" s="80" t="n">
        <v>0</v>
      </c>
      <c r="AS27" s="80" t="n">
        <v>0</v>
      </c>
      <c r="AT27" s="80" t="n">
        <v>100</v>
      </c>
      <c r="AU27" s="80" t="n">
        <v>94</v>
      </c>
      <c r="AV27" s="80" t="n">
        <v>99</v>
      </c>
      <c r="AW27" s="80" t="n">
        <v>39</v>
      </c>
      <c r="AX27" s="77" t="n">
        <v>0.03459698196540302</v>
      </c>
      <c r="AY27" s="77" t="n">
        <v>0.03643724696356275</v>
      </c>
      <c r="AZ27" s="77" t="n">
        <v>0.01435406698564593</v>
      </c>
      <c r="BA27" s="77" t="n">
        <v>0.1733800350262697</v>
      </c>
      <c r="BB27" s="80" t="n">
        <v>0</v>
      </c>
      <c r="BC27" s="80" t="n">
        <v>1</v>
      </c>
      <c r="BD27" s="78" t="n">
        <v>0.9736842105263158</v>
      </c>
      <c r="BE27" s="78" t="n">
        <v>1</v>
      </c>
      <c r="BF27" s="78" t="inlineStr">
        <is>
          <t>-</t>
        </is>
      </c>
    </row>
    <row r="28" ht="19.55" customHeight="1">
      <c r="A28" s="81" t="n">
        <v>25</v>
      </c>
      <c r="B28" s="76" t="inlineStr">
        <is>
          <t>全国</t>
        </is>
      </c>
      <c r="C28" s="82" t="n">
        <v>46119</v>
      </c>
      <c r="D28" s="76" t="inlineStr">
        <is>
          <t>N6</t>
        </is>
      </c>
      <c r="E28" s="76" t="n">
        <v>1565</v>
      </c>
      <c r="F28" s="76" t="n">
        <v>1358</v>
      </c>
      <c r="G28" s="77" t="n">
        <v>0.8677316293929712</v>
      </c>
      <c r="H28" s="76" t="n">
        <v>555</v>
      </c>
      <c r="I28" s="78" t="n">
        <v>0.3546325878594249</v>
      </c>
      <c r="J28" s="76" t="n">
        <v>1790</v>
      </c>
      <c r="K28" s="76" t="n">
        <v>1732</v>
      </c>
      <c r="L28" s="77" t="n">
        <v>0.968</v>
      </c>
      <c r="M28" s="76" t="n">
        <v>10685</v>
      </c>
      <c r="N28" s="76" t="n">
        <v>10275</v>
      </c>
      <c r="O28" s="76" t="n">
        <v>10538</v>
      </c>
      <c r="P28" s="77" t="n">
        <v>0.9862423958820776</v>
      </c>
      <c r="Q28" s="76" t="n">
        <v>21</v>
      </c>
      <c r="R28" s="76" t="n">
        <v>0</v>
      </c>
      <c r="S28" s="76" t="n">
        <v>0</v>
      </c>
      <c r="T28" s="77" t="n">
        <v>0</v>
      </c>
      <c r="U28" s="76" t="n">
        <v>0</v>
      </c>
      <c r="V28" s="77" t="n">
        <v>0</v>
      </c>
      <c r="W28" s="76" t="n">
        <v>1683</v>
      </c>
      <c r="X28" s="77" t="n">
        <v>1.075399361022364</v>
      </c>
      <c r="Y28" s="76" t="n">
        <v>340</v>
      </c>
      <c r="Z28" s="79" t="n">
        <v>0.2172523961661342</v>
      </c>
      <c r="AA28" s="76" t="n">
        <v>38</v>
      </c>
      <c r="AB28" s="77" t="n">
        <v>0.02428115015974441</v>
      </c>
      <c r="AC28" s="76" t="n">
        <v>203</v>
      </c>
      <c r="AD28" s="77" t="n">
        <v>0.1297124600638977</v>
      </c>
      <c r="AE28" s="76" t="n">
        <v>24</v>
      </c>
      <c r="AF28" s="77" t="n">
        <v>0.1182266009852217</v>
      </c>
      <c r="AG28" s="76" t="n">
        <v>189</v>
      </c>
      <c r="AH28" s="77" t="n">
        <v>0.9310344827586207</v>
      </c>
      <c r="AI28" s="80" t="n">
        <v>205</v>
      </c>
      <c r="AJ28" s="77" t="n">
        <v>0.1309904153354633</v>
      </c>
      <c r="AK28" s="80" t="n">
        <v>1</v>
      </c>
      <c r="AL28" s="77" t="n">
        <v>0.8536585365853658</v>
      </c>
      <c r="AM28" s="80" t="n">
        <v>198</v>
      </c>
      <c r="AN28" s="80" t="n">
        <v>175</v>
      </c>
      <c r="AO28" s="77" t="n">
        <v>0.1118210862619808</v>
      </c>
      <c r="AP28" s="77" t="n">
        <v>0.8620689655172413</v>
      </c>
      <c r="AQ28" s="78" t="n">
        <v>0.9668874172185431</v>
      </c>
      <c r="AR28" s="80" t="n">
        <v>0</v>
      </c>
      <c r="AS28" s="80" t="n">
        <v>0</v>
      </c>
      <c r="AT28" s="80" t="n">
        <v>60</v>
      </c>
      <c r="AU28" s="80" t="n">
        <v>57</v>
      </c>
      <c r="AV28" s="80" t="n">
        <v>57</v>
      </c>
      <c r="AW28" s="80" t="n">
        <v>74</v>
      </c>
      <c r="AX28" s="77" t="n">
        <v>0.03642172523961661</v>
      </c>
      <c r="AY28" s="77" t="n">
        <v>0.03642172523961661</v>
      </c>
      <c r="AZ28" s="77" t="n">
        <v>0.04728434504792332</v>
      </c>
      <c r="BA28" s="77" t="n">
        <v>0.3257142857142857</v>
      </c>
      <c r="BB28" s="80" t="n">
        <v>0</v>
      </c>
      <c r="BC28" s="80" t="n">
        <v>0</v>
      </c>
      <c r="BD28" s="78" t="n">
        <v>1</v>
      </c>
      <c r="BE28" s="78" t="n">
        <v>1</v>
      </c>
      <c r="BF28" s="78" t="inlineStr">
        <is>
          <t>-</t>
        </is>
      </c>
    </row>
    <row r="29" ht="19.55" customHeight="1">
      <c r="A29" s="81" t="n">
        <v>26</v>
      </c>
      <c r="B29" s="76" t="inlineStr">
        <is>
          <t>全国</t>
        </is>
      </c>
      <c r="C29" s="82" t="n">
        <v>46119</v>
      </c>
      <c r="D29" s="76" t="inlineStr">
        <is>
          <t>N7</t>
        </is>
      </c>
      <c r="E29" s="76" t="n">
        <v>2889</v>
      </c>
      <c r="F29" s="76" t="n">
        <v>2535</v>
      </c>
      <c r="G29" s="77" t="n">
        <v>0.877466251298027</v>
      </c>
      <c r="H29" s="76" t="n">
        <v>1746</v>
      </c>
      <c r="I29" s="78" t="n">
        <v>0.6043613707165109</v>
      </c>
      <c r="J29" s="76" t="n">
        <v>2461</v>
      </c>
      <c r="K29" s="76" t="n">
        <v>2350</v>
      </c>
      <c r="L29" s="77" t="n">
        <v>0.955</v>
      </c>
      <c r="M29" s="76" t="n">
        <v>9755</v>
      </c>
      <c r="N29" s="76" t="n">
        <v>9655</v>
      </c>
      <c r="O29" s="76" t="n">
        <v>9558</v>
      </c>
      <c r="P29" s="77" t="n">
        <v>0.97980522808816</v>
      </c>
      <c r="Q29" s="76" t="n">
        <v>37</v>
      </c>
      <c r="R29" s="76" t="n">
        <v>0</v>
      </c>
      <c r="S29" s="76" t="n">
        <v>0</v>
      </c>
      <c r="T29" s="77" t="n">
        <v>0</v>
      </c>
      <c r="U29" s="76" t="n">
        <v>0</v>
      </c>
      <c r="V29" s="77" t="n">
        <v>0</v>
      </c>
      <c r="W29" s="76" t="n">
        <v>1846</v>
      </c>
      <c r="X29" s="77" t="n">
        <v>0.638975424022153</v>
      </c>
      <c r="Y29" s="76" t="n">
        <v>407</v>
      </c>
      <c r="Z29" s="79" t="n">
        <v>0.1408791969539633</v>
      </c>
      <c r="AA29" s="76" t="n">
        <v>19</v>
      </c>
      <c r="AB29" s="77" t="n">
        <v>0.006576670128071997</v>
      </c>
      <c r="AC29" s="76" t="n">
        <v>240</v>
      </c>
      <c r="AD29" s="77" t="n">
        <v>0.08307372793354102</v>
      </c>
      <c r="AE29" s="76" t="n">
        <v>33</v>
      </c>
      <c r="AF29" s="77" t="n">
        <v>0.1375</v>
      </c>
      <c r="AG29" s="76" t="n">
        <v>227</v>
      </c>
      <c r="AH29" s="77" t="n">
        <v>0.9458333333333333</v>
      </c>
      <c r="AI29" s="80" t="n">
        <v>238</v>
      </c>
      <c r="AJ29" s="77" t="n">
        <v>0.08238144686742818</v>
      </c>
      <c r="AK29" s="80" t="n">
        <v>1</v>
      </c>
      <c r="AL29" s="77" t="n">
        <v>0.8571428571428571</v>
      </c>
      <c r="AM29" s="80" t="n">
        <v>236</v>
      </c>
      <c r="AN29" s="80" t="n">
        <v>204</v>
      </c>
      <c r="AO29" s="77" t="n">
        <v>0.07061266874350987</v>
      </c>
      <c r="AP29" s="77" t="n">
        <v>0.85</v>
      </c>
      <c r="AQ29" s="78" t="n">
        <v>0.9766233766233766</v>
      </c>
      <c r="AR29" s="80" t="n">
        <v>0</v>
      </c>
      <c r="AS29" s="80" t="n">
        <v>0</v>
      </c>
      <c r="AT29" s="80" t="n">
        <v>52</v>
      </c>
      <c r="AU29" s="80" t="n">
        <v>41</v>
      </c>
      <c r="AV29" s="80" t="n">
        <v>42</v>
      </c>
      <c r="AW29" s="80" t="n">
        <v>44</v>
      </c>
      <c r="AX29" s="77" t="n">
        <v>0.01419176185531326</v>
      </c>
      <c r="AY29" s="77" t="n">
        <v>0.01453790238836968</v>
      </c>
      <c r="AZ29" s="77" t="n">
        <v>0.01523018345448252</v>
      </c>
      <c r="BA29" s="77" t="n">
        <v>0.2058823529411765</v>
      </c>
      <c r="BB29" s="80" t="n">
        <v>0</v>
      </c>
      <c r="BC29" s="80" t="n">
        <v>0</v>
      </c>
      <c r="BD29" s="78" t="n">
        <v>1</v>
      </c>
      <c r="BE29" s="78" t="n">
        <v>1</v>
      </c>
      <c r="BF29" s="78" t="inlineStr">
        <is>
          <t>-</t>
        </is>
      </c>
    </row>
    <row r="30" ht="19.55" customHeight="1">
      <c r="A30" s="81" t="n">
        <v>27</v>
      </c>
      <c r="B30" s="76" t="inlineStr">
        <is>
          <t>全国</t>
        </is>
      </c>
      <c r="C30" s="82" t="n">
        <v>46119</v>
      </c>
      <c r="D30" s="76" t="inlineStr">
        <is>
          <t>NX8</t>
        </is>
      </c>
      <c r="E30" s="76" t="n">
        <v>3862</v>
      </c>
      <c r="F30" s="76" t="n">
        <v>3506</v>
      </c>
      <c r="G30" s="77" t="n">
        <v>0.9078197824961161</v>
      </c>
      <c r="H30" s="76" t="n">
        <v>984</v>
      </c>
      <c r="I30" s="78" t="n">
        <v>0.2547902641118591</v>
      </c>
      <c r="J30" s="76" t="n">
        <v>1740</v>
      </c>
      <c r="K30" s="76" t="n">
        <v>1674</v>
      </c>
      <c r="L30" s="77" t="n">
        <v>0.962</v>
      </c>
      <c r="M30" s="76" t="n">
        <v>9177</v>
      </c>
      <c r="N30" s="76" t="n">
        <v>8982</v>
      </c>
      <c r="O30" s="76" t="n">
        <v>8928</v>
      </c>
      <c r="P30" s="77" t="n">
        <v>0.9728669499836547</v>
      </c>
      <c r="Q30" s="76" t="n">
        <v>20</v>
      </c>
      <c r="R30" s="76" t="n">
        <v>0</v>
      </c>
      <c r="S30" s="76" t="n">
        <v>0</v>
      </c>
      <c r="T30" s="77" t="n">
        <v>0</v>
      </c>
      <c r="U30" s="76" t="n">
        <v>0</v>
      </c>
      <c r="V30" s="77" t="n">
        <v>0</v>
      </c>
      <c r="W30" s="76" t="n">
        <v>131</v>
      </c>
      <c r="X30" s="77" t="n">
        <v>0.03392024857586742</v>
      </c>
      <c r="Y30" s="76" t="n">
        <v>295</v>
      </c>
      <c r="Z30" s="79" t="n">
        <v>0.07638529259451061</v>
      </c>
      <c r="AA30" s="76" t="n">
        <v>0</v>
      </c>
      <c r="AB30" s="77" t="n">
        <v>0</v>
      </c>
      <c r="AC30" s="76" t="n">
        <v>903</v>
      </c>
      <c r="AD30" s="77" t="n">
        <v>0.2338166752977732</v>
      </c>
      <c r="AE30" s="76" t="n">
        <v>334</v>
      </c>
      <c r="AF30" s="77" t="n">
        <v>0.3698781838316722</v>
      </c>
      <c r="AG30" s="76" t="n">
        <v>853</v>
      </c>
      <c r="AH30" s="77" t="n">
        <v>0.9446290143964563</v>
      </c>
      <c r="AI30" s="80" t="n">
        <v>1040</v>
      </c>
      <c r="AJ30" s="77" t="n">
        <v>0.2692905230450544</v>
      </c>
      <c r="AK30" s="80" t="n">
        <v>11</v>
      </c>
      <c r="AL30" s="77" t="n">
        <v>0.8846153846153846</v>
      </c>
      <c r="AM30" s="80" t="n">
        <v>1038</v>
      </c>
      <c r="AN30" s="80" t="n">
        <v>920</v>
      </c>
      <c r="AO30" s="77" t="n">
        <v>0.2382185396167789</v>
      </c>
      <c r="AP30" s="77" t="n">
        <v>1.018826135105205</v>
      </c>
      <c r="AQ30" s="78" t="n">
        <v>0.9707916986933128</v>
      </c>
      <c r="AR30" s="80" t="n">
        <v>884</v>
      </c>
      <c r="AS30" s="80" t="n">
        <v>0</v>
      </c>
      <c r="AT30" s="80" t="n">
        <v>0</v>
      </c>
      <c r="AU30" s="80" t="n">
        <v>0</v>
      </c>
      <c r="AV30" s="80" t="n">
        <v>0</v>
      </c>
      <c r="AW30" s="80" t="n">
        <v>0</v>
      </c>
      <c r="AX30" s="77" t="n">
        <v>0</v>
      </c>
      <c r="AY30" s="77" t="n">
        <v>0</v>
      </c>
      <c r="AZ30" s="77" t="n">
        <v>0</v>
      </c>
      <c r="BA30" s="77" t="n">
        <v>0</v>
      </c>
      <c r="BB30" s="80" t="n">
        <v>0</v>
      </c>
      <c r="BC30" s="80" t="n">
        <v>2</v>
      </c>
      <c r="BD30" s="78" t="n">
        <v>0.9681818181818181</v>
      </c>
      <c r="BE30" s="78" t="inlineStr">
        <is>
          <t>-</t>
        </is>
      </c>
      <c r="BF30" s="78" t="inlineStr">
        <is>
          <t>-</t>
        </is>
      </c>
    </row>
    <row r="31" ht="19.55" customHeight="1">
      <c r="A31" s="81" t="n">
        <v>28</v>
      </c>
      <c r="B31" s="76" t="inlineStr">
        <is>
          <t>全国</t>
        </is>
      </c>
      <c r="C31" s="82" t="n">
        <v>46119</v>
      </c>
      <c r="D31" s="76" t="inlineStr">
        <is>
          <t>天籁·鸿蒙座舱</t>
        </is>
      </c>
      <c r="E31" s="76" t="n">
        <v>2987</v>
      </c>
      <c r="F31" s="76" t="n">
        <v>2652</v>
      </c>
      <c r="G31" s="77" t="n">
        <v>0.887847338466689</v>
      </c>
      <c r="H31" s="76" t="n">
        <v>1984</v>
      </c>
      <c r="I31" s="78" t="n">
        <v>0.6642115835286241</v>
      </c>
      <c r="J31" s="76" t="n">
        <v>3757</v>
      </c>
      <c r="K31" s="76" t="n">
        <v>3691</v>
      </c>
      <c r="L31" s="77" t="n">
        <v>0.982</v>
      </c>
      <c r="M31" s="76" t="n">
        <v>18247</v>
      </c>
      <c r="N31" s="76" t="n">
        <v>17736</v>
      </c>
      <c r="O31" s="76" t="n">
        <v>17993</v>
      </c>
      <c r="P31" s="77" t="n">
        <v>0.9860799035457883</v>
      </c>
      <c r="Q31" s="76" t="n">
        <v>29</v>
      </c>
      <c r="R31" s="76" t="n">
        <v>0</v>
      </c>
      <c r="S31" s="76" t="n">
        <v>0</v>
      </c>
      <c r="T31" s="77" t="n">
        <v>0</v>
      </c>
      <c r="U31" s="76" t="n">
        <v>0</v>
      </c>
      <c r="V31" s="77" t="n">
        <v>0</v>
      </c>
      <c r="W31" s="76" t="n">
        <v>2690</v>
      </c>
      <c r="X31" s="77" t="n">
        <v>0.9005691329092735</v>
      </c>
      <c r="Y31" s="76" t="n">
        <v>429</v>
      </c>
      <c r="Z31" s="79" t="n">
        <v>0.1436223635754938</v>
      </c>
      <c r="AA31" s="76" t="n">
        <v>106</v>
      </c>
      <c r="AB31" s="77" t="n">
        <v>0.03548711081352528</v>
      </c>
      <c r="AC31" s="76" t="n">
        <v>402</v>
      </c>
      <c r="AD31" s="77" t="n">
        <v>0.1345831938399732</v>
      </c>
      <c r="AE31" s="76" t="n">
        <v>75</v>
      </c>
      <c r="AF31" s="77" t="n">
        <v>0.1865671641791045</v>
      </c>
      <c r="AG31" s="76" t="n">
        <v>379</v>
      </c>
      <c r="AH31" s="77" t="n">
        <v>0.9427860696517413</v>
      </c>
      <c r="AI31" s="80" t="n">
        <v>432</v>
      </c>
      <c r="AJ31" s="77" t="n">
        <v>0.1446267157683294</v>
      </c>
      <c r="AK31" s="80" t="n">
        <v>0</v>
      </c>
      <c r="AL31" s="77" t="n">
        <v>0.9421296296296297</v>
      </c>
      <c r="AM31" s="80" t="n">
        <v>428</v>
      </c>
      <c r="AN31" s="80" t="n">
        <v>407</v>
      </c>
      <c r="AO31" s="77" t="n">
        <v>0.1362571141613659</v>
      </c>
      <c r="AP31" s="77" t="n">
        <v>1.012437810945274</v>
      </c>
      <c r="AQ31" s="78" t="n">
        <v>0.9514237855946399</v>
      </c>
      <c r="AR31" s="80" t="n">
        <v>0</v>
      </c>
      <c r="AS31" s="80" t="n">
        <v>0</v>
      </c>
      <c r="AT31" s="80" t="n">
        <v>60</v>
      </c>
      <c r="AU31" s="80" t="n">
        <v>50</v>
      </c>
      <c r="AV31" s="80" t="n">
        <v>56</v>
      </c>
      <c r="AW31" s="80" t="n">
        <v>94</v>
      </c>
      <c r="AX31" s="77" t="n">
        <v>0.01673920321392702</v>
      </c>
      <c r="AY31" s="77" t="n">
        <v>0.01874790759959826</v>
      </c>
      <c r="AZ31" s="77" t="n">
        <v>0.03146970204218279</v>
      </c>
      <c r="BA31" s="77" t="n">
        <v>0.1375921375921376</v>
      </c>
      <c r="BB31" s="80" t="n">
        <v>0</v>
      </c>
      <c r="BC31" s="80" t="n">
        <v>2</v>
      </c>
      <c r="BD31" s="78" t="n">
        <v>1</v>
      </c>
      <c r="BE31" s="78" t="n">
        <v>0.8</v>
      </c>
      <c r="BF31" s="78" t="inlineStr">
        <is>
          <t>-</t>
        </is>
      </c>
    </row>
    <row r="32" ht="19.55" customHeight="1">
      <c r="A32" s="81" t="n">
        <v>29</v>
      </c>
      <c r="B32" s="76" t="inlineStr">
        <is>
          <t>全国</t>
        </is>
      </c>
      <c r="C32" s="82" t="n">
        <v>46120</v>
      </c>
      <c r="D32" s="76" t="inlineStr">
        <is>
          <t>N6</t>
        </is>
      </c>
      <c r="E32" s="76" t="n">
        <v>1849</v>
      </c>
      <c r="F32" s="76" t="n">
        <v>1584</v>
      </c>
      <c r="G32" s="77" t="n">
        <v>0.856679286100595</v>
      </c>
      <c r="H32" s="76" t="n">
        <v>968</v>
      </c>
      <c r="I32" s="78" t="n">
        <v>0.5235262303948081</v>
      </c>
      <c r="J32" s="76" t="n">
        <v>2571</v>
      </c>
      <c r="K32" s="76" t="n">
        <v>2478</v>
      </c>
      <c r="L32" s="77" t="n">
        <v>0.964</v>
      </c>
      <c r="M32" s="76" t="n">
        <v>11370</v>
      </c>
      <c r="N32" s="76" t="n">
        <v>11162</v>
      </c>
      <c r="O32" s="76" t="n">
        <v>11131</v>
      </c>
      <c r="P32" s="77" t="n">
        <v>0.9789797713280562</v>
      </c>
      <c r="Q32" s="76" t="n">
        <v>29</v>
      </c>
      <c r="R32" s="76" t="n">
        <v>0</v>
      </c>
      <c r="S32" s="76" t="n">
        <v>0</v>
      </c>
      <c r="T32" s="77" t="n">
        <v>0</v>
      </c>
      <c r="U32" s="76" t="n">
        <v>0</v>
      </c>
      <c r="V32" s="77" t="n">
        <v>0</v>
      </c>
      <c r="W32" s="76" t="n">
        <v>1571</v>
      </c>
      <c r="X32" s="77" t="n">
        <v>0.8496484586262845</v>
      </c>
      <c r="Y32" s="76" t="n">
        <v>455</v>
      </c>
      <c r="Z32" s="79" t="n">
        <v>0.2460789616008653</v>
      </c>
      <c r="AA32" s="76" t="n">
        <v>47</v>
      </c>
      <c r="AB32" s="77" t="n">
        <v>0.02541914548404543</v>
      </c>
      <c r="AC32" s="76" t="n">
        <v>206</v>
      </c>
      <c r="AD32" s="77" t="n">
        <v>0.1114115738236885</v>
      </c>
      <c r="AE32" s="76" t="n">
        <v>43</v>
      </c>
      <c r="AF32" s="77" t="n">
        <v>0.2087378640776699</v>
      </c>
      <c r="AG32" s="76" t="n">
        <v>188</v>
      </c>
      <c r="AH32" s="77" t="n">
        <v>0.912621359223301</v>
      </c>
      <c r="AI32" s="80" t="n">
        <v>201</v>
      </c>
      <c r="AJ32" s="77" t="n">
        <v>0.1087074094104922</v>
      </c>
      <c r="AK32" s="80" t="n">
        <v>0</v>
      </c>
      <c r="AL32" s="77" t="n">
        <v>0.8557213930348259</v>
      </c>
      <c r="AM32" s="80" t="n">
        <v>201</v>
      </c>
      <c r="AN32" s="80" t="n">
        <v>172</v>
      </c>
      <c r="AO32" s="77" t="n">
        <v>0.09302325581395349</v>
      </c>
      <c r="AP32" s="77" t="n">
        <v>0.8349514563106796</v>
      </c>
      <c r="AQ32" s="78" t="n">
        <v>0.9836065573770492</v>
      </c>
      <c r="AR32" s="80" t="n">
        <v>0</v>
      </c>
      <c r="AS32" s="80" t="n">
        <v>0</v>
      </c>
      <c r="AT32" s="80" t="n">
        <v>59</v>
      </c>
      <c r="AU32" s="80" t="n">
        <v>55</v>
      </c>
      <c r="AV32" s="80" t="n">
        <v>58</v>
      </c>
      <c r="AW32" s="80" t="n">
        <v>80</v>
      </c>
      <c r="AX32" s="77" t="n">
        <v>0.02974580854515954</v>
      </c>
      <c r="AY32" s="77" t="n">
        <v>0.03136830719307734</v>
      </c>
      <c r="AZ32" s="77" t="n">
        <v>0.04326663061114116</v>
      </c>
      <c r="BA32" s="77" t="n">
        <v>0.3372093023255814</v>
      </c>
      <c r="BB32" s="80" t="n">
        <v>0</v>
      </c>
      <c r="BC32" s="80" t="n">
        <v>0</v>
      </c>
      <c r="BD32" s="78" t="n">
        <v>1</v>
      </c>
      <c r="BE32" s="78" t="n">
        <v>1</v>
      </c>
      <c r="BF32" s="78" t="inlineStr">
        <is>
          <t>-</t>
        </is>
      </c>
    </row>
    <row r="33" ht="19.55" customHeight="1">
      <c r="A33" s="81" t="n">
        <v>30</v>
      </c>
      <c r="B33" s="76" t="inlineStr">
        <is>
          <t>全国</t>
        </is>
      </c>
      <c r="C33" s="82" t="n">
        <v>46120</v>
      </c>
      <c r="D33" s="76" t="inlineStr">
        <is>
          <t>N7</t>
        </is>
      </c>
      <c r="E33" s="76" t="n">
        <v>2061</v>
      </c>
      <c r="F33" s="76" t="n">
        <v>1840</v>
      </c>
      <c r="G33" s="77" t="n">
        <v>0.8927704997573993</v>
      </c>
      <c r="H33" s="76" t="n">
        <v>1123</v>
      </c>
      <c r="I33" s="78" t="n">
        <v>0.5448811256671519</v>
      </c>
      <c r="J33" s="76" t="n">
        <v>2630</v>
      </c>
      <c r="K33" s="76" t="n">
        <v>2557</v>
      </c>
      <c r="L33" s="77" t="n">
        <v>0.972</v>
      </c>
      <c r="M33" s="76" t="n">
        <v>9621</v>
      </c>
      <c r="N33" s="76" t="n">
        <v>9774</v>
      </c>
      <c r="O33" s="76" t="n">
        <v>9459</v>
      </c>
      <c r="P33" s="77" t="n">
        <v>0.9831618334892422</v>
      </c>
      <c r="Q33" s="76" t="n">
        <v>27</v>
      </c>
      <c r="R33" s="76" t="n">
        <v>0</v>
      </c>
      <c r="S33" s="76" t="n">
        <v>0</v>
      </c>
      <c r="T33" s="77" t="n">
        <v>0</v>
      </c>
      <c r="U33" s="76" t="n">
        <v>0</v>
      </c>
      <c r="V33" s="77" t="n">
        <v>0</v>
      </c>
      <c r="W33" s="76" t="n">
        <v>1567</v>
      </c>
      <c r="X33" s="77" t="n">
        <v>0.7603105288694808</v>
      </c>
      <c r="Y33" s="76" t="n">
        <v>905</v>
      </c>
      <c r="Z33" s="79" t="n">
        <v>0.4391072295002426</v>
      </c>
      <c r="AA33" s="76" t="n">
        <v>18</v>
      </c>
      <c r="AB33" s="77" t="n">
        <v>0.008733624454148471</v>
      </c>
      <c r="AC33" s="76" t="n">
        <v>211</v>
      </c>
      <c r="AD33" s="77" t="n">
        <v>0.1023774866569626</v>
      </c>
      <c r="AE33" s="76" t="n">
        <v>26</v>
      </c>
      <c r="AF33" s="77" t="n">
        <v>0.1232227488151659</v>
      </c>
      <c r="AG33" s="76" t="n">
        <v>185</v>
      </c>
      <c r="AH33" s="77" t="n">
        <v>0.8767772511848341</v>
      </c>
      <c r="AI33" s="80" t="n">
        <v>201</v>
      </c>
      <c r="AJ33" s="77" t="n">
        <v>0.0975254730713246</v>
      </c>
      <c r="AK33" s="80" t="n">
        <v>1</v>
      </c>
      <c r="AL33" s="77" t="n">
        <v>0.8258706467661692</v>
      </c>
      <c r="AM33" s="80" t="n">
        <v>201</v>
      </c>
      <c r="AN33" s="80" t="n">
        <v>166</v>
      </c>
      <c r="AO33" s="77" t="n">
        <v>0.08054342552159147</v>
      </c>
      <c r="AP33" s="77" t="n">
        <v>0.7867298578199052</v>
      </c>
      <c r="AQ33" s="78" t="n">
        <v>0.9908256880733946</v>
      </c>
      <c r="AR33" s="80" t="n">
        <v>0</v>
      </c>
      <c r="AS33" s="80" t="n">
        <v>0</v>
      </c>
      <c r="AT33" s="80" t="n">
        <v>43</v>
      </c>
      <c r="AU33" s="80" t="n">
        <v>36</v>
      </c>
      <c r="AV33" s="80" t="n">
        <v>39</v>
      </c>
      <c r="AW33" s="80" t="n">
        <v>40</v>
      </c>
      <c r="AX33" s="77" t="n">
        <v>0.01746724890829694</v>
      </c>
      <c r="AY33" s="77" t="n">
        <v>0.01892285298398836</v>
      </c>
      <c r="AZ33" s="77" t="n">
        <v>0.01940805434255216</v>
      </c>
      <c r="BA33" s="77" t="n">
        <v>0.2349397590361446</v>
      </c>
      <c r="BB33" s="80" t="n">
        <v>0</v>
      </c>
      <c r="BC33" s="80" t="n">
        <v>0</v>
      </c>
      <c r="BD33" s="78" t="n">
        <v>0.9523809523809523</v>
      </c>
      <c r="BE33" s="78" t="n">
        <v>0.9</v>
      </c>
      <c r="BF33" s="78" t="inlineStr">
        <is>
          <t>-</t>
        </is>
      </c>
    </row>
    <row r="34" ht="19.55" customHeight="1">
      <c r="A34" s="81" t="n">
        <v>31</v>
      </c>
      <c r="B34" s="76" t="inlineStr">
        <is>
          <t>全国</t>
        </is>
      </c>
      <c r="C34" s="82" t="n">
        <v>46120</v>
      </c>
      <c r="D34" s="76" t="inlineStr">
        <is>
          <t>NX8</t>
        </is>
      </c>
      <c r="E34" s="76" t="n">
        <v>9863</v>
      </c>
      <c r="F34" s="76" t="n">
        <v>8783</v>
      </c>
      <c r="G34" s="77" t="n">
        <v>0.8904998479164554</v>
      </c>
      <c r="H34" s="76" t="n">
        <v>3175</v>
      </c>
      <c r="I34" s="78" t="n">
        <v>0.3219101693196796</v>
      </c>
      <c r="J34" s="76" t="n">
        <v>3081</v>
      </c>
      <c r="K34" s="76" t="n">
        <v>2982</v>
      </c>
      <c r="L34" s="77" t="n">
        <v>0.968</v>
      </c>
      <c r="M34" s="76" t="n">
        <v>12300</v>
      </c>
      <c r="N34" s="76" t="n">
        <v>15064</v>
      </c>
      <c r="O34" s="76" t="n">
        <v>11895</v>
      </c>
      <c r="P34" s="77" t="n">
        <v>0.9670731707317073</v>
      </c>
      <c r="Q34" s="76" t="n">
        <v>56</v>
      </c>
      <c r="R34" s="76" t="n">
        <v>0</v>
      </c>
      <c r="S34" s="76" t="n">
        <v>0</v>
      </c>
      <c r="T34" s="77" t="n">
        <v>0</v>
      </c>
      <c r="U34" s="76" t="n">
        <v>0</v>
      </c>
      <c r="V34" s="77" t="n">
        <v>0</v>
      </c>
      <c r="W34" s="76" t="n">
        <v>255</v>
      </c>
      <c r="X34" s="77" t="n">
        <v>0.02585420257528135</v>
      </c>
      <c r="Y34" s="76" t="n">
        <v>472</v>
      </c>
      <c r="Z34" s="79" t="n">
        <v>0.04785562202169726</v>
      </c>
      <c r="AA34" s="76" t="n">
        <v>0</v>
      </c>
      <c r="AB34" s="77" t="n">
        <v>0</v>
      </c>
      <c r="AC34" s="76" t="n">
        <v>1032</v>
      </c>
      <c r="AD34" s="77" t="n">
        <v>0.1046334786576092</v>
      </c>
      <c r="AE34" s="76" t="n">
        <v>369</v>
      </c>
      <c r="AF34" s="77" t="n">
        <v>0.3575581395348837</v>
      </c>
      <c r="AG34" s="76" t="n">
        <v>927</v>
      </c>
      <c r="AH34" s="77" t="n">
        <v>0.8982558139534884</v>
      </c>
      <c r="AI34" s="80" t="n">
        <v>1134</v>
      </c>
      <c r="AJ34" s="77" t="n">
        <v>0.1149751596877218</v>
      </c>
      <c r="AK34" s="80" t="n">
        <v>5</v>
      </c>
      <c r="AL34" s="77" t="n">
        <v>0.8641975308641975</v>
      </c>
      <c r="AM34" s="80" t="n">
        <v>1132</v>
      </c>
      <c r="AN34" s="80" t="n">
        <v>980</v>
      </c>
      <c r="AO34" s="77" t="n">
        <v>0.099361249112846</v>
      </c>
      <c r="AP34" s="77" t="n">
        <v>0.9496124031007752</v>
      </c>
      <c r="AQ34" s="78" t="n">
        <v>0.9580152671755725</v>
      </c>
      <c r="AR34" s="80" t="n">
        <v>1513</v>
      </c>
      <c r="AS34" s="80" t="n">
        <v>2</v>
      </c>
      <c r="AT34" s="80" t="n">
        <v>409</v>
      </c>
      <c r="AU34" s="80" t="n">
        <v>394</v>
      </c>
      <c r="AV34" s="80" t="n">
        <v>218</v>
      </c>
      <c r="AW34" s="80" t="n">
        <v>0</v>
      </c>
      <c r="AX34" s="77" t="n">
        <v>0.03994727770455236</v>
      </c>
      <c r="AY34" s="77" t="n">
        <v>0.02210280847612288</v>
      </c>
      <c r="AZ34" s="77" t="n">
        <v>0</v>
      </c>
      <c r="BA34" s="77" t="n">
        <v>0.2224489795918367</v>
      </c>
      <c r="BB34" s="80" t="n">
        <v>0</v>
      </c>
      <c r="BC34" s="80" t="n">
        <v>1</v>
      </c>
      <c r="BD34" s="78" t="n">
        <v>0.9851485148514851</v>
      </c>
      <c r="BE34" s="78" t="n">
        <v>0.9230769230769231</v>
      </c>
      <c r="BF34" s="78" t="inlineStr">
        <is>
          <t>-</t>
        </is>
      </c>
    </row>
    <row r="35" ht="19.55" customHeight="1">
      <c r="A35" s="81" t="n">
        <v>32</v>
      </c>
      <c r="B35" s="76" t="inlineStr">
        <is>
          <t>全国</t>
        </is>
      </c>
      <c r="C35" s="82" t="n">
        <v>46120</v>
      </c>
      <c r="D35" s="76" t="inlineStr">
        <is>
          <t>天籁·鸿蒙座舱</t>
        </is>
      </c>
      <c r="E35" s="76" t="n">
        <v>2904</v>
      </c>
      <c r="F35" s="76" t="n">
        <v>2570</v>
      </c>
      <c r="G35" s="77" t="n">
        <v>0.8849862258953168</v>
      </c>
      <c r="H35" s="76" t="n">
        <v>1823</v>
      </c>
      <c r="I35" s="78" t="n">
        <v>0.6277548209366391</v>
      </c>
      <c r="J35" s="76" t="n">
        <v>3817</v>
      </c>
      <c r="K35" s="76" t="n">
        <v>3737</v>
      </c>
      <c r="L35" s="77" t="n">
        <v>0.979</v>
      </c>
      <c r="M35" s="76" t="n">
        <v>17601</v>
      </c>
      <c r="N35" s="76" t="n">
        <v>17679</v>
      </c>
      <c r="O35" s="76" t="n">
        <v>17337</v>
      </c>
      <c r="P35" s="77" t="n">
        <v>0.9850008522243054</v>
      </c>
      <c r="Q35" s="76" t="n">
        <v>25</v>
      </c>
      <c r="R35" s="76" t="n">
        <v>0</v>
      </c>
      <c r="S35" s="76" t="n">
        <v>0</v>
      </c>
      <c r="T35" s="77" t="n">
        <v>0</v>
      </c>
      <c r="U35" s="76" t="n">
        <v>0</v>
      </c>
      <c r="V35" s="77" t="n">
        <v>0</v>
      </c>
      <c r="W35" s="76" t="n">
        <v>2401</v>
      </c>
      <c r="X35" s="77" t="n">
        <v>0.8267906336088154</v>
      </c>
      <c r="Y35" s="76" t="n">
        <v>717</v>
      </c>
      <c r="Z35" s="79" t="n">
        <v>0.246900826446281</v>
      </c>
      <c r="AA35" s="76" t="n">
        <v>100</v>
      </c>
      <c r="AB35" s="77" t="n">
        <v>0.03443526170798898</v>
      </c>
      <c r="AC35" s="76" t="n">
        <v>403</v>
      </c>
      <c r="AD35" s="77" t="n">
        <v>0.1387741046831956</v>
      </c>
      <c r="AE35" s="76" t="n">
        <v>56</v>
      </c>
      <c r="AF35" s="77" t="n">
        <v>0.1389578163771712</v>
      </c>
      <c r="AG35" s="76" t="n">
        <v>377</v>
      </c>
      <c r="AH35" s="77" t="n">
        <v>0.9354838709677419</v>
      </c>
      <c r="AI35" s="80" t="n">
        <v>405</v>
      </c>
      <c r="AJ35" s="77" t="n">
        <v>0.1394628099173554</v>
      </c>
      <c r="AK35" s="80" t="n">
        <v>0</v>
      </c>
      <c r="AL35" s="77" t="n">
        <v>0.9555555555555556</v>
      </c>
      <c r="AM35" s="80" t="n">
        <v>403</v>
      </c>
      <c r="AN35" s="80" t="n">
        <v>387</v>
      </c>
      <c r="AO35" s="77" t="n">
        <v>0.1332644628099174</v>
      </c>
      <c r="AP35" s="77" t="n">
        <v>0.9602977667493796</v>
      </c>
      <c r="AQ35" s="78" t="n">
        <v>0.9734299516908212</v>
      </c>
      <c r="AR35" s="80" t="n">
        <v>0</v>
      </c>
      <c r="AS35" s="80" t="n">
        <v>0</v>
      </c>
      <c r="AT35" s="80" t="n">
        <v>64</v>
      </c>
      <c r="AU35" s="80" t="n">
        <v>56</v>
      </c>
      <c r="AV35" s="80" t="n">
        <v>58</v>
      </c>
      <c r="AW35" s="80" t="n">
        <v>72</v>
      </c>
      <c r="AX35" s="77" t="n">
        <v>0.01928374655647383</v>
      </c>
      <c r="AY35" s="77" t="n">
        <v>0.01997245179063361</v>
      </c>
      <c r="AZ35" s="77" t="n">
        <v>0.02479338842975207</v>
      </c>
      <c r="BA35" s="77" t="n">
        <v>0.1498708010335917</v>
      </c>
      <c r="BB35" s="80" t="n">
        <v>0</v>
      </c>
      <c r="BC35" s="80" t="n">
        <v>0</v>
      </c>
      <c r="BD35" s="78" t="n">
        <v>0.9850746268656716</v>
      </c>
      <c r="BE35" s="78" t="n">
        <v>1</v>
      </c>
      <c r="BF35" s="78" t="inlineStr">
        <is>
          <t>-</t>
        </is>
      </c>
    </row>
    <row r="36" ht="19.55" customHeight="1">
      <c r="A36" s="81" t="n">
        <v>33</v>
      </c>
      <c r="B36" s="76" t="inlineStr">
        <is>
          <t>全国</t>
        </is>
      </c>
      <c r="C36" s="82" t="n">
        <v>46121</v>
      </c>
      <c r="D36" s="76" t="inlineStr">
        <is>
          <t>N6</t>
        </is>
      </c>
      <c r="E36" s="76" t="n">
        <v>1839</v>
      </c>
      <c r="F36" s="76" t="n">
        <v>1614</v>
      </c>
      <c r="G36" s="77" t="n">
        <v>0.8776508972267537</v>
      </c>
      <c r="H36" s="76" t="n">
        <v>696</v>
      </c>
      <c r="I36" s="78" t="n">
        <v>0.3784665579119086</v>
      </c>
      <c r="J36" s="76" t="n">
        <v>2208</v>
      </c>
      <c r="K36" s="76" t="n">
        <v>2158</v>
      </c>
      <c r="L36" s="77" t="n">
        <v>0.977</v>
      </c>
      <c r="M36" s="76" t="n">
        <v>10559</v>
      </c>
      <c r="N36" s="76" t="n">
        <v>10342</v>
      </c>
      <c r="O36" s="76" t="n">
        <v>10438</v>
      </c>
      <c r="P36" s="77" t="n">
        <v>0.9885405814944597</v>
      </c>
      <c r="Q36" s="76" t="n">
        <v>12</v>
      </c>
      <c r="R36" s="76" t="n">
        <v>0</v>
      </c>
      <c r="S36" s="76" t="n">
        <v>0</v>
      </c>
      <c r="T36" s="77" t="n">
        <v>0</v>
      </c>
      <c r="U36" s="76" t="n">
        <v>0</v>
      </c>
      <c r="V36" s="77" t="n">
        <v>0</v>
      </c>
      <c r="W36" s="76" t="n">
        <v>1033</v>
      </c>
      <c r="X36" s="77" t="n">
        <v>0.5617183251767265</v>
      </c>
      <c r="Y36" s="76" t="n">
        <v>392</v>
      </c>
      <c r="Z36" s="79" t="n">
        <v>0.2131593257205003</v>
      </c>
      <c r="AA36" s="76" t="n">
        <v>41</v>
      </c>
      <c r="AB36" s="77" t="n">
        <v>0.022294725394236</v>
      </c>
      <c r="AC36" s="76" t="n">
        <v>173</v>
      </c>
      <c r="AD36" s="77" t="n">
        <v>0.09407286568787385</v>
      </c>
      <c r="AE36" s="76" t="n">
        <v>35</v>
      </c>
      <c r="AF36" s="77" t="n">
        <v>0.2023121387283237</v>
      </c>
      <c r="AG36" s="76" t="n">
        <v>163</v>
      </c>
      <c r="AH36" s="77" t="n">
        <v>0.9421965317919075</v>
      </c>
      <c r="AI36" s="80" t="n">
        <v>158</v>
      </c>
      <c r="AJ36" s="77" t="n">
        <v>0.08591625883632409</v>
      </c>
      <c r="AK36" s="80" t="n">
        <v>0</v>
      </c>
      <c r="AL36" s="77" t="n">
        <v>0.8860759493670886</v>
      </c>
      <c r="AM36" s="80" t="n">
        <v>159</v>
      </c>
      <c r="AN36" s="80" t="n">
        <v>140</v>
      </c>
      <c r="AO36" s="77" t="n">
        <v>0.07612833061446438</v>
      </c>
      <c r="AP36" s="77" t="n">
        <v>0.8092485549132948</v>
      </c>
      <c r="AQ36" s="78" t="n">
        <v>0.967032967032967</v>
      </c>
      <c r="AR36" s="80" t="n">
        <v>0</v>
      </c>
      <c r="AS36" s="80" t="n">
        <v>0</v>
      </c>
      <c r="AT36" s="80" t="n">
        <v>39</v>
      </c>
      <c r="AU36" s="80" t="n">
        <v>34</v>
      </c>
      <c r="AV36" s="80" t="n">
        <v>30</v>
      </c>
      <c r="AW36" s="80" t="n">
        <v>70</v>
      </c>
      <c r="AX36" s="77" t="n">
        <v>0.01848830886351278</v>
      </c>
      <c r="AY36" s="77" t="n">
        <v>0.01631321370309951</v>
      </c>
      <c r="AZ36" s="77" t="n">
        <v>0.03806416530723219</v>
      </c>
      <c r="BA36" s="77" t="n">
        <v>0.2142857142857143</v>
      </c>
      <c r="BB36" s="80" t="n">
        <v>0</v>
      </c>
      <c r="BC36" s="80" t="n">
        <v>0</v>
      </c>
      <c r="BD36" s="78" t="n">
        <v>1</v>
      </c>
      <c r="BE36" s="78" t="n">
        <v>1</v>
      </c>
      <c r="BF36" s="78" t="inlineStr">
        <is>
          <t>-</t>
        </is>
      </c>
    </row>
    <row r="37" ht="19.55" customHeight="1">
      <c r="A37" s="81" t="n">
        <v>34</v>
      </c>
      <c r="B37" s="76" t="inlineStr">
        <is>
          <t>全国</t>
        </is>
      </c>
      <c r="C37" s="82" t="n">
        <v>46121</v>
      </c>
      <c r="D37" s="76" t="inlineStr">
        <is>
          <t>N7</t>
        </is>
      </c>
      <c r="E37" s="76" t="n">
        <v>1937</v>
      </c>
      <c r="F37" s="76" t="n">
        <v>1764</v>
      </c>
      <c r="G37" s="77" t="n">
        <v>0.9106866288074342</v>
      </c>
      <c r="H37" s="76" t="n">
        <v>900</v>
      </c>
      <c r="I37" s="78" t="n">
        <v>0.4646360351058338</v>
      </c>
      <c r="J37" s="76" t="n">
        <v>1912</v>
      </c>
      <c r="K37" s="76" t="n">
        <v>1853</v>
      </c>
      <c r="L37" s="77" t="n">
        <v>0.969</v>
      </c>
      <c r="M37" s="76" t="n">
        <v>9703</v>
      </c>
      <c r="N37" s="76" t="n">
        <v>9508</v>
      </c>
      <c r="O37" s="76" t="n">
        <v>9554</v>
      </c>
      <c r="P37" s="77" t="n">
        <v>0.9846439245594146</v>
      </c>
      <c r="Q37" s="76" t="n">
        <v>18</v>
      </c>
      <c r="R37" s="76" t="n">
        <v>0</v>
      </c>
      <c r="S37" s="76" t="n">
        <v>0</v>
      </c>
      <c r="T37" s="77" t="n">
        <v>0</v>
      </c>
      <c r="U37" s="76" t="n">
        <v>0</v>
      </c>
      <c r="V37" s="77" t="n">
        <v>0</v>
      </c>
      <c r="W37" s="76" t="n">
        <v>1501</v>
      </c>
      <c r="X37" s="77" t="n">
        <v>0.774909654104285</v>
      </c>
      <c r="Y37" s="76" t="n">
        <v>491</v>
      </c>
      <c r="Z37" s="79" t="n">
        <v>0.2534847702632937</v>
      </c>
      <c r="AA37" s="76" t="n">
        <v>22</v>
      </c>
      <c r="AB37" s="77" t="n">
        <v>0.01135776974703149</v>
      </c>
      <c r="AC37" s="76" t="n">
        <v>240</v>
      </c>
      <c r="AD37" s="77" t="n">
        <v>0.123902942694889</v>
      </c>
      <c r="AE37" s="76" t="n">
        <v>32</v>
      </c>
      <c r="AF37" s="77" t="n">
        <v>0.1333333333333333</v>
      </c>
      <c r="AG37" s="76" t="n">
        <v>219</v>
      </c>
      <c r="AH37" s="77" t="n">
        <v>0.9125</v>
      </c>
      <c r="AI37" s="80" t="n">
        <v>211</v>
      </c>
      <c r="AJ37" s="77" t="n">
        <v>0.1089313371192566</v>
      </c>
      <c r="AK37" s="80" t="n">
        <v>0</v>
      </c>
      <c r="AL37" s="77" t="n">
        <v>0.8436018957345972</v>
      </c>
      <c r="AM37" s="80" t="n">
        <v>210</v>
      </c>
      <c r="AN37" s="80" t="n">
        <v>178</v>
      </c>
      <c r="AO37" s="77" t="n">
        <v>0.09189468249870934</v>
      </c>
      <c r="AP37" s="77" t="n">
        <v>0.7416666666666667</v>
      </c>
      <c r="AQ37" s="78" t="n">
        <v>0.984375</v>
      </c>
      <c r="AR37" s="80" t="n">
        <v>0</v>
      </c>
      <c r="AS37" s="80" t="n">
        <v>0</v>
      </c>
      <c r="AT37" s="80" t="n">
        <v>61</v>
      </c>
      <c r="AU37" s="80" t="n">
        <v>50</v>
      </c>
      <c r="AV37" s="80" t="n">
        <v>46</v>
      </c>
      <c r="AW37" s="80" t="n">
        <v>37</v>
      </c>
      <c r="AX37" s="77" t="n">
        <v>0.02581311306143521</v>
      </c>
      <c r="AY37" s="77" t="n">
        <v>0.02374806401652039</v>
      </c>
      <c r="AZ37" s="77" t="n">
        <v>0.01910170366546205</v>
      </c>
      <c r="BA37" s="77" t="n">
        <v>0.2584269662921349</v>
      </c>
      <c r="BB37" s="80" t="n">
        <v>0</v>
      </c>
      <c r="BC37" s="80" t="n">
        <v>0</v>
      </c>
      <c r="BD37" s="78" t="n">
        <v>1</v>
      </c>
      <c r="BE37" s="78" t="n">
        <v>1</v>
      </c>
      <c r="BF37" s="78" t="inlineStr">
        <is>
          <t>-</t>
        </is>
      </c>
    </row>
    <row r="38" ht="19.55" customHeight="1">
      <c r="A38" s="81" t="n">
        <v>35</v>
      </c>
      <c r="B38" s="76" t="inlineStr">
        <is>
          <t>全国</t>
        </is>
      </c>
      <c r="C38" s="82" t="n">
        <v>46121</v>
      </c>
      <c r="D38" s="76" t="inlineStr">
        <is>
          <t>NX8</t>
        </is>
      </c>
      <c r="E38" s="76" t="n">
        <v>7824</v>
      </c>
      <c r="F38" s="76" t="n">
        <v>7062</v>
      </c>
      <c r="G38" s="77" t="n">
        <v>0.9026073619631901</v>
      </c>
      <c r="H38" s="76" t="n">
        <v>3594</v>
      </c>
      <c r="I38" s="78" t="n">
        <v>0.4593558282208589</v>
      </c>
      <c r="J38" s="76" t="n">
        <v>10652</v>
      </c>
      <c r="K38" s="76" t="n">
        <v>10477</v>
      </c>
      <c r="L38" s="77" t="n">
        <v>0.984</v>
      </c>
      <c r="M38" s="76" t="n">
        <v>21506</v>
      </c>
      <c r="N38" s="76" t="n">
        <v>22431</v>
      </c>
      <c r="O38" s="76" t="n">
        <v>21119</v>
      </c>
      <c r="P38" s="77" t="n">
        <v>0.9820050218543662</v>
      </c>
      <c r="Q38" s="76" t="n">
        <v>36</v>
      </c>
      <c r="R38" s="76" t="n">
        <v>0</v>
      </c>
      <c r="S38" s="76" t="n">
        <v>0</v>
      </c>
      <c r="T38" s="77" t="n">
        <v>0</v>
      </c>
      <c r="U38" s="76" t="n">
        <v>0</v>
      </c>
      <c r="V38" s="77" t="n">
        <v>0</v>
      </c>
      <c r="W38" s="76" t="n">
        <v>201</v>
      </c>
      <c r="X38" s="77" t="n">
        <v>0.02569018404907976</v>
      </c>
      <c r="Y38" s="76" t="n">
        <v>720</v>
      </c>
      <c r="Z38" s="79" t="n">
        <v>0.09202453987730061</v>
      </c>
      <c r="AA38" s="76" t="n">
        <v>1</v>
      </c>
      <c r="AB38" s="77" t="n">
        <v>0.0001278118609406953</v>
      </c>
      <c r="AC38" s="76" t="n">
        <v>1607</v>
      </c>
      <c r="AD38" s="77" t="n">
        <v>0.2053936605316973</v>
      </c>
      <c r="AE38" s="76" t="n">
        <v>341</v>
      </c>
      <c r="AF38" s="77" t="n">
        <v>0.2121966397013068</v>
      </c>
      <c r="AG38" s="76" t="n">
        <v>1473</v>
      </c>
      <c r="AH38" s="77" t="n">
        <v>0.9166148102053516</v>
      </c>
      <c r="AI38" s="80" t="n">
        <v>1669</v>
      </c>
      <c r="AJ38" s="77" t="n">
        <v>0.2133179959100205</v>
      </c>
      <c r="AK38" s="80" t="n">
        <v>11</v>
      </c>
      <c r="AL38" s="77" t="n">
        <v>0.8220491312162972</v>
      </c>
      <c r="AM38" s="80" t="n">
        <v>1665</v>
      </c>
      <c r="AN38" s="80" t="n">
        <v>1372</v>
      </c>
      <c r="AO38" s="77" t="n">
        <v>0.175357873210634</v>
      </c>
      <c r="AP38" s="77" t="n">
        <v>0.8537647790914747</v>
      </c>
      <c r="AQ38" s="78" t="n">
        <v>0.9530201342281879</v>
      </c>
      <c r="AR38" s="80" t="n">
        <v>0</v>
      </c>
      <c r="AS38" s="80" t="n">
        <v>0</v>
      </c>
      <c r="AT38" s="80" t="n">
        <v>369</v>
      </c>
      <c r="AU38" s="80" t="n">
        <v>327</v>
      </c>
      <c r="AV38" s="80" t="n">
        <v>327</v>
      </c>
      <c r="AW38" s="80" t="n">
        <v>0</v>
      </c>
      <c r="AX38" s="77" t="n">
        <v>0.04179447852760736</v>
      </c>
      <c r="AY38" s="77" t="n">
        <v>0.04179447852760736</v>
      </c>
      <c r="AZ38" s="77" t="n">
        <v>0</v>
      </c>
      <c r="BA38" s="77" t="n">
        <v>0.2383381924198251</v>
      </c>
      <c r="BB38" s="80" t="n">
        <v>0</v>
      </c>
      <c r="BC38" s="80" t="n">
        <v>0</v>
      </c>
      <c r="BD38" s="78" t="n">
        <v>0.9802955665024631</v>
      </c>
      <c r="BE38" s="78" t="n">
        <v>1</v>
      </c>
      <c r="BF38" s="78" t="inlineStr">
        <is>
          <t>-</t>
        </is>
      </c>
    </row>
    <row r="39" ht="19.55" customHeight="1">
      <c r="A39" s="81" t="n">
        <v>36</v>
      </c>
      <c r="B39" s="76" t="inlineStr">
        <is>
          <t>全国</t>
        </is>
      </c>
      <c r="C39" s="82" t="n">
        <v>46121</v>
      </c>
      <c r="D39" s="76" t="inlineStr">
        <is>
          <t>天籁·鸿蒙座舱</t>
        </is>
      </c>
      <c r="E39" s="76" t="n">
        <v>2796</v>
      </c>
      <c r="F39" s="76" t="n">
        <v>2508</v>
      </c>
      <c r="G39" s="77" t="n">
        <v>0.8969957081545065</v>
      </c>
      <c r="H39" s="76" t="n">
        <v>1676</v>
      </c>
      <c r="I39" s="78" t="n">
        <v>0.5994277539341917</v>
      </c>
      <c r="J39" s="76" t="n">
        <v>3459</v>
      </c>
      <c r="K39" s="76" t="n">
        <v>3378</v>
      </c>
      <c r="L39" s="77" t="n">
        <v>0.977</v>
      </c>
      <c r="M39" s="76" t="n">
        <v>17248</v>
      </c>
      <c r="N39" s="76" t="n">
        <v>16699</v>
      </c>
      <c r="O39" s="76" t="n">
        <v>17019</v>
      </c>
      <c r="P39" s="77" t="n">
        <v>0.9867230983302412</v>
      </c>
      <c r="Q39" s="76" t="n">
        <v>30</v>
      </c>
      <c r="R39" s="76" t="n">
        <v>0</v>
      </c>
      <c r="S39" s="76" t="n">
        <v>0</v>
      </c>
      <c r="T39" s="77" t="n">
        <v>0</v>
      </c>
      <c r="U39" s="76" t="n">
        <v>0</v>
      </c>
      <c r="V39" s="77" t="n">
        <v>0</v>
      </c>
      <c r="W39" s="76" t="n">
        <v>1701</v>
      </c>
      <c r="X39" s="77" t="n">
        <v>0.6083690987124464</v>
      </c>
      <c r="Y39" s="76" t="n">
        <v>548</v>
      </c>
      <c r="Z39" s="79" t="n">
        <v>0.1959942775393419</v>
      </c>
      <c r="AA39" s="76" t="n">
        <v>81</v>
      </c>
      <c r="AB39" s="77" t="n">
        <v>0.02896995708154506</v>
      </c>
      <c r="AC39" s="76" t="n">
        <v>353</v>
      </c>
      <c r="AD39" s="77" t="n">
        <v>0.1262517882689556</v>
      </c>
      <c r="AE39" s="76" t="n">
        <v>48</v>
      </c>
      <c r="AF39" s="77" t="n">
        <v>0.1359773371104816</v>
      </c>
      <c r="AG39" s="76" t="n">
        <v>313</v>
      </c>
      <c r="AH39" s="77" t="n">
        <v>0.886685552407932</v>
      </c>
      <c r="AI39" s="80" t="n">
        <v>330</v>
      </c>
      <c r="AJ39" s="77" t="n">
        <v>0.1180257510729614</v>
      </c>
      <c r="AK39" s="80" t="n">
        <v>1</v>
      </c>
      <c r="AL39" s="77" t="n">
        <v>0.9545454545454546</v>
      </c>
      <c r="AM39" s="80" t="n">
        <v>330</v>
      </c>
      <c r="AN39" s="80" t="n">
        <v>315</v>
      </c>
      <c r="AO39" s="77" t="n">
        <v>0.1126609442060086</v>
      </c>
      <c r="AP39" s="77" t="n">
        <v>0.8923512747875354</v>
      </c>
      <c r="AQ39" s="78" t="n">
        <v>0.9365482233502538</v>
      </c>
      <c r="AR39" s="80" t="n">
        <v>0</v>
      </c>
      <c r="AS39" s="80" t="n">
        <v>0</v>
      </c>
      <c r="AT39" s="80" t="n">
        <v>60</v>
      </c>
      <c r="AU39" s="80" t="n">
        <v>54</v>
      </c>
      <c r="AV39" s="80" t="n">
        <v>53</v>
      </c>
      <c r="AW39" s="80" t="n">
        <v>64</v>
      </c>
      <c r="AX39" s="77" t="n">
        <v>0.01931330472103004</v>
      </c>
      <c r="AY39" s="77" t="n">
        <v>0.01895565092989986</v>
      </c>
      <c r="AZ39" s="77" t="n">
        <v>0.0228898426323319</v>
      </c>
      <c r="BA39" s="77" t="n">
        <v>0.1682539682539683</v>
      </c>
      <c r="BB39" s="80" t="n">
        <v>0</v>
      </c>
      <c r="BC39" s="80" t="n">
        <v>1</v>
      </c>
      <c r="BD39" s="78" t="n">
        <v>0.9591836734693877</v>
      </c>
      <c r="BE39" s="78" t="n">
        <v>1</v>
      </c>
      <c r="BF39" s="78" t="inlineStr">
        <is>
          <t>-</t>
        </is>
      </c>
    </row>
    <row r="40" ht="19.55" customHeight="1">
      <c r="A40" s="81" t="n">
        <v>37</v>
      </c>
      <c r="B40" s="76" t="inlineStr">
        <is>
          <t>全国</t>
        </is>
      </c>
      <c r="C40" s="82" t="n">
        <v>46122</v>
      </c>
      <c r="D40" s="76" t="inlineStr">
        <is>
          <t>N6</t>
        </is>
      </c>
      <c r="E40" s="76" t="n">
        <v>2009</v>
      </c>
      <c r="F40" s="76" t="n">
        <v>1751</v>
      </c>
      <c r="G40" s="77" t="n">
        <v>0.8715778994524639</v>
      </c>
      <c r="H40" s="76" t="n">
        <v>1158</v>
      </c>
      <c r="I40" s="78" t="n">
        <v>0.5764061722249876</v>
      </c>
      <c r="J40" s="76" t="n">
        <v>2614</v>
      </c>
      <c r="K40" s="76" t="n">
        <v>2530</v>
      </c>
      <c r="L40" s="77" t="n">
        <v>0.968</v>
      </c>
      <c r="M40" s="76" t="n">
        <v>10961</v>
      </c>
      <c r="N40" s="76" t="n">
        <v>11166</v>
      </c>
      <c r="O40" s="76" t="n">
        <v>10778</v>
      </c>
      <c r="P40" s="77" t="n">
        <v>0.9833044430252714</v>
      </c>
      <c r="Q40" s="76" t="n">
        <v>34</v>
      </c>
      <c r="R40" s="76" t="n">
        <v>0</v>
      </c>
      <c r="S40" s="76" t="n">
        <v>0</v>
      </c>
      <c r="T40" s="77" t="n">
        <v>0</v>
      </c>
      <c r="U40" s="76" t="n">
        <v>0</v>
      </c>
      <c r="V40" s="77" t="n">
        <v>0</v>
      </c>
      <c r="W40" s="76" t="n">
        <v>1630</v>
      </c>
      <c r="X40" s="77" t="n">
        <v>0.8113489298158287</v>
      </c>
      <c r="Y40" s="76" t="n">
        <v>461</v>
      </c>
      <c r="Z40" s="79" t="n">
        <v>0.2294673967147835</v>
      </c>
      <c r="AA40" s="76" t="n">
        <v>32</v>
      </c>
      <c r="AB40" s="77" t="n">
        <v>0.01592832254853161</v>
      </c>
      <c r="AC40" s="76" t="n">
        <v>183</v>
      </c>
      <c r="AD40" s="77" t="n">
        <v>0.09109009457441514</v>
      </c>
      <c r="AE40" s="76" t="n">
        <v>37</v>
      </c>
      <c r="AF40" s="77" t="n">
        <v>0.2021857923497268</v>
      </c>
      <c r="AG40" s="76" t="n">
        <v>168</v>
      </c>
      <c r="AH40" s="77" t="n">
        <v>0.9180327868852459</v>
      </c>
      <c r="AI40" s="80" t="n">
        <v>189</v>
      </c>
      <c r="AJ40" s="77" t="n">
        <v>0.09407665505226481</v>
      </c>
      <c r="AK40" s="80" t="n">
        <v>0</v>
      </c>
      <c r="AL40" s="77" t="n">
        <v>0.8359788359788359</v>
      </c>
      <c r="AM40" s="80" t="n">
        <v>187</v>
      </c>
      <c r="AN40" s="80" t="n">
        <v>158</v>
      </c>
      <c r="AO40" s="77" t="n">
        <v>0.07864609258337481</v>
      </c>
      <c r="AP40" s="77" t="n">
        <v>0.8633879781420765</v>
      </c>
      <c r="AQ40" s="78" t="n">
        <v>0.9433962264150944</v>
      </c>
      <c r="AR40" s="80" t="n">
        <v>0</v>
      </c>
      <c r="AS40" s="80" t="n">
        <v>0</v>
      </c>
      <c r="AT40" s="80" t="n">
        <v>50</v>
      </c>
      <c r="AU40" s="80" t="n">
        <v>48</v>
      </c>
      <c r="AV40" s="80" t="n">
        <v>49</v>
      </c>
      <c r="AW40" s="80" t="n">
        <v>79</v>
      </c>
      <c r="AX40" s="77" t="n">
        <v>0.02389248382279741</v>
      </c>
      <c r="AY40" s="77" t="n">
        <v>0.02439024390243903</v>
      </c>
      <c r="AZ40" s="77" t="n">
        <v>0.0393230462916874</v>
      </c>
      <c r="BA40" s="77" t="n">
        <v>0.310126582278481</v>
      </c>
      <c r="BB40" s="80" t="n">
        <v>0</v>
      </c>
      <c r="BC40" s="80" t="n">
        <v>0</v>
      </c>
      <c r="BD40" s="78" t="n">
        <v>1</v>
      </c>
      <c r="BE40" s="78" t="n">
        <v>1</v>
      </c>
      <c r="BF40" s="78" t="inlineStr">
        <is>
          <t>-</t>
        </is>
      </c>
    </row>
    <row r="41" ht="19.55" customHeight="1">
      <c r="A41" s="81" t="n">
        <v>38</v>
      </c>
      <c r="B41" s="76" t="inlineStr">
        <is>
          <t>全国</t>
        </is>
      </c>
      <c r="C41" s="82" t="n">
        <v>46122</v>
      </c>
      <c r="D41" s="76" t="inlineStr">
        <is>
          <t>N7</t>
        </is>
      </c>
      <c r="E41" s="76" t="n">
        <v>2063</v>
      </c>
      <c r="F41" s="76" t="n">
        <v>1773</v>
      </c>
      <c r="G41" s="77" t="n">
        <v>0.8594280174503151</v>
      </c>
      <c r="H41" s="76" t="n">
        <v>1427</v>
      </c>
      <c r="I41" s="78" t="n">
        <v>0.6917111003393117</v>
      </c>
      <c r="J41" s="76" t="n">
        <v>2966</v>
      </c>
      <c r="K41" s="76" t="n">
        <v>2881</v>
      </c>
      <c r="L41" s="77" t="n">
        <v>0.971</v>
      </c>
      <c r="M41" s="76" t="n">
        <v>10960</v>
      </c>
      <c r="N41" s="76" t="n">
        <v>11057</v>
      </c>
      <c r="O41" s="76" t="n">
        <v>10765</v>
      </c>
      <c r="P41" s="77" t="n">
        <v>0.9822080291970803</v>
      </c>
      <c r="Q41" s="76" t="n">
        <v>29</v>
      </c>
      <c r="R41" s="76" t="n">
        <v>0</v>
      </c>
      <c r="S41" s="76" t="n">
        <v>0</v>
      </c>
      <c r="T41" s="77" t="n">
        <v>0</v>
      </c>
      <c r="U41" s="76" t="n">
        <v>0</v>
      </c>
      <c r="V41" s="77" t="n">
        <v>0</v>
      </c>
      <c r="W41" s="76" t="n">
        <v>1470</v>
      </c>
      <c r="X41" s="77" t="n">
        <v>0.7125545322346097</v>
      </c>
      <c r="Y41" s="76" t="n">
        <v>515</v>
      </c>
      <c r="Z41" s="79" t="n">
        <v>0.249636451769268</v>
      </c>
      <c r="AA41" s="76" t="n">
        <v>17</v>
      </c>
      <c r="AB41" s="77" t="n">
        <v>0.008240426563257392</v>
      </c>
      <c r="AC41" s="76" t="n">
        <v>207</v>
      </c>
      <c r="AD41" s="77" t="n">
        <v>0.1003393116820165</v>
      </c>
      <c r="AE41" s="76" t="n">
        <v>32</v>
      </c>
      <c r="AF41" s="77" t="n">
        <v>0.1545893719806763</v>
      </c>
      <c r="AG41" s="76" t="n">
        <v>187</v>
      </c>
      <c r="AH41" s="77" t="n">
        <v>0.9033816425120773</v>
      </c>
      <c r="AI41" s="80" t="n">
        <v>184</v>
      </c>
      <c r="AJ41" s="77" t="n">
        <v>0.08919049927290354</v>
      </c>
      <c r="AK41" s="80" t="n">
        <v>2</v>
      </c>
      <c r="AL41" s="77" t="n">
        <v>0.8804347826086957</v>
      </c>
      <c r="AM41" s="80" t="n">
        <v>184</v>
      </c>
      <c r="AN41" s="80" t="n">
        <v>162</v>
      </c>
      <c r="AO41" s="77" t="n">
        <v>0.07852641783809985</v>
      </c>
      <c r="AP41" s="77" t="n">
        <v>0.7826086956521739</v>
      </c>
      <c r="AQ41" s="78" t="n">
        <v>0.9320388349514563</v>
      </c>
      <c r="AR41" s="80" t="n">
        <v>0</v>
      </c>
      <c r="AS41" s="80" t="n">
        <v>0</v>
      </c>
      <c r="AT41" s="80" t="n">
        <v>48</v>
      </c>
      <c r="AU41" s="80" t="n">
        <v>46</v>
      </c>
      <c r="AV41" s="80" t="n">
        <v>50</v>
      </c>
      <c r="AW41" s="80" t="n">
        <v>42</v>
      </c>
      <c r="AX41" s="77" t="n">
        <v>0.02229762481822588</v>
      </c>
      <c r="AY41" s="77" t="n">
        <v>0.02423654871546292</v>
      </c>
      <c r="AZ41" s="77" t="n">
        <v>0.02035870092098885</v>
      </c>
      <c r="BA41" s="77" t="n">
        <v>0.308641975308642</v>
      </c>
      <c r="BB41" s="80" t="n">
        <v>0</v>
      </c>
      <c r="BC41" s="80" t="n">
        <v>0</v>
      </c>
      <c r="BD41" s="78" t="n">
        <v>0.9642857142857143</v>
      </c>
      <c r="BE41" s="78" t="n">
        <v>1</v>
      </c>
      <c r="BF41" s="78" t="inlineStr">
        <is>
          <t>-</t>
        </is>
      </c>
    </row>
    <row r="42" ht="19.55" customHeight="1">
      <c r="A42" s="81" t="n">
        <v>39</v>
      </c>
      <c r="B42" s="76" t="inlineStr">
        <is>
          <t>全国</t>
        </is>
      </c>
      <c r="C42" s="82" t="n">
        <v>46122</v>
      </c>
      <c r="D42" s="76" t="inlineStr">
        <is>
          <t>NX8</t>
        </is>
      </c>
      <c r="E42" s="76" t="n">
        <v>6718</v>
      </c>
      <c r="F42" s="76" t="n">
        <v>6015</v>
      </c>
      <c r="G42" s="77" t="n">
        <v>0.8953557606430486</v>
      </c>
      <c r="H42" s="76" t="n">
        <v>2891</v>
      </c>
      <c r="I42" s="78" t="n">
        <v>0.4303364096457279</v>
      </c>
      <c r="J42" s="76" t="n">
        <v>9411</v>
      </c>
      <c r="K42" s="76" t="n">
        <v>9272</v>
      </c>
      <c r="L42" s="77" t="n">
        <v>0.985</v>
      </c>
      <c r="M42" s="76" t="n">
        <v>21265</v>
      </c>
      <c r="N42" s="76" t="n">
        <v>22467</v>
      </c>
      <c r="O42" s="76" t="n">
        <v>20894</v>
      </c>
      <c r="P42" s="77" t="n">
        <v>0.9825534916529508</v>
      </c>
      <c r="Q42" s="76" t="n">
        <v>28</v>
      </c>
      <c r="R42" s="76" t="n">
        <v>0</v>
      </c>
      <c r="S42" s="76" t="n">
        <v>0</v>
      </c>
      <c r="T42" s="77" t="n">
        <v>0</v>
      </c>
      <c r="U42" s="76" t="n">
        <v>0</v>
      </c>
      <c r="V42" s="77" t="n">
        <v>0</v>
      </c>
      <c r="W42" s="76" t="n">
        <v>569</v>
      </c>
      <c r="X42" s="77" t="n">
        <v>0.08469782673414707</v>
      </c>
      <c r="Y42" s="76" t="n">
        <v>552</v>
      </c>
      <c r="Z42" s="79" t="n">
        <v>0.08216731169991069</v>
      </c>
      <c r="AA42" s="76" t="n">
        <v>0</v>
      </c>
      <c r="AB42" s="77" t="n">
        <v>0</v>
      </c>
      <c r="AC42" s="76" t="n">
        <v>1589</v>
      </c>
      <c r="AD42" s="77" t="n">
        <v>0.2365287287883299</v>
      </c>
      <c r="AE42" s="76" t="n">
        <v>330</v>
      </c>
      <c r="AF42" s="77" t="n">
        <v>0.2076777847702958</v>
      </c>
      <c r="AG42" s="76" t="n">
        <v>1465</v>
      </c>
      <c r="AH42" s="77" t="n">
        <v>0.92196349905601</v>
      </c>
      <c r="AI42" s="80" t="n">
        <v>1633</v>
      </c>
      <c r="AJ42" s="77" t="n">
        <v>0.2430782971122358</v>
      </c>
      <c r="AK42" s="80" t="n">
        <v>15</v>
      </c>
      <c r="AL42" s="77" t="n">
        <v>0.8077158603796694</v>
      </c>
      <c r="AM42" s="80" t="n">
        <v>1626</v>
      </c>
      <c r="AN42" s="80" t="n">
        <v>1319</v>
      </c>
      <c r="AO42" s="77" t="n">
        <v>0.1963381958916344</v>
      </c>
      <c r="AP42" s="77" t="n">
        <v>0.830081812460667</v>
      </c>
      <c r="AQ42" s="78" t="n">
        <v>0.9718490083173384</v>
      </c>
      <c r="AR42" s="80" t="n">
        <v>0</v>
      </c>
      <c r="AS42" s="80" t="n">
        <v>0</v>
      </c>
      <c r="AT42" s="80" t="n">
        <v>308</v>
      </c>
      <c r="AU42" s="80" t="n">
        <v>252</v>
      </c>
      <c r="AV42" s="80" t="n">
        <v>263</v>
      </c>
      <c r="AW42" s="80" t="n">
        <v>4</v>
      </c>
      <c r="AX42" s="77" t="n">
        <v>0.03751116403691575</v>
      </c>
      <c r="AY42" s="77" t="n">
        <v>0.03914855611789223</v>
      </c>
      <c r="AZ42" s="77" t="n">
        <v>0.0005954153021732659</v>
      </c>
      <c r="BA42" s="77" t="n">
        <v>0.199393479909022</v>
      </c>
      <c r="BB42" s="80" t="n">
        <v>0</v>
      </c>
      <c r="BC42" s="80" t="n">
        <v>1</v>
      </c>
      <c r="BD42" s="78" t="n">
        <v>0.9543568464730291</v>
      </c>
      <c r="BE42" s="78" t="n">
        <v>1</v>
      </c>
      <c r="BF42" s="78" t="inlineStr">
        <is>
          <t>-</t>
        </is>
      </c>
    </row>
    <row r="43" ht="19.55" customHeight="1">
      <c r="A43" s="81" t="n">
        <v>40</v>
      </c>
      <c r="B43" s="76" t="inlineStr">
        <is>
          <t>全国</t>
        </is>
      </c>
      <c r="C43" s="82" t="n">
        <v>46122</v>
      </c>
      <c r="D43" s="76" t="inlineStr">
        <is>
          <t>天籁·鸿蒙座舱</t>
        </is>
      </c>
      <c r="E43" s="76" t="n">
        <v>2137</v>
      </c>
      <c r="F43" s="76" t="n">
        <v>1976</v>
      </c>
      <c r="G43" s="77" t="n">
        <v>0.9246607393542349</v>
      </c>
      <c r="H43" s="76" t="n">
        <v>1127</v>
      </c>
      <c r="I43" s="78" t="n">
        <v>0.5273748245203557</v>
      </c>
      <c r="J43" s="76" t="n">
        <v>3169</v>
      </c>
      <c r="K43" s="76" t="n">
        <v>3092</v>
      </c>
      <c r="L43" s="77" t="n">
        <v>0.976</v>
      </c>
      <c r="M43" s="76" t="n">
        <v>17721</v>
      </c>
      <c r="N43" s="76" t="n">
        <v>17798</v>
      </c>
      <c r="O43" s="76" t="n">
        <v>17502</v>
      </c>
      <c r="P43" s="77" t="n">
        <v>0.9876417809378704</v>
      </c>
      <c r="Q43" s="76" t="n">
        <v>31</v>
      </c>
      <c r="R43" s="76" t="n">
        <v>0</v>
      </c>
      <c r="S43" s="76" t="n">
        <v>0</v>
      </c>
      <c r="T43" s="77" t="n">
        <v>0</v>
      </c>
      <c r="U43" s="76" t="n">
        <v>0</v>
      </c>
      <c r="V43" s="77" t="n">
        <v>0</v>
      </c>
      <c r="W43" s="76" t="n">
        <v>2656</v>
      </c>
      <c r="X43" s="77" t="n">
        <v>1.242863827795976</v>
      </c>
      <c r="Y43" s="76" t="n">
        <v>610</v>
      </c>
      <c r="Z43" s="79" t="n">
        <v>0.2854468881609733</v>
      </c>
      <c r="AA43" s="76" t="n">
        <v>88</v>
      </c>
      <c r="AB43" s="77" t="n">
        <v>0.04117922321010763</v>
      </c>
      <c r="AC43" s="76" t="n">
        <v>405</v>
      </c>
      <c r="AD43" s="77" t="n">
        <v>0.1895180159101544</v>
      </c>
      <c r="AE43" s="76" t="n">
        <v>50</v>
      </c>
      <c r="AF43" s="77" t="n">
        <v>0.1234567901234568</v>
      </c>
      <c r="AG43" s="76" t="n">
        <v>369</v>
      </c>
      <c r="AH43" s="77" t="n">
        <v>0.9111111111111111</v>
      </c>
      <c r="AI43" s="80" t="n">
        <v>394</v>
      </c>
      <c r="AJ43" s="77" t="n">
        <v>0.184370613008891</v>
      </c>
      <c r="AK43" s="80" t="n">
        <v>3</v>
      </c>
      <c r="AL43" s="77" t="n">
        <v>0.9314720812182741</v>
      </c>
      <c r="AM43" s="80" t="n">
        <v>391</v>
      </c>
      <c r="AN43" s="80" t="n">
        <v>367</v>
      </c>
      <c r="AO43" s="77" t="n">
        <v>0.1717360786148807</v>
      </c>
      <c r="AP43" s="77" t="n">
        <v>0.9061728395061729</v>
      </c>
      <c r="AQ43" s="78" t="n">
        <v>0.9610778443113772</v>
      </c>
      <c r="AR43" s="80" t="n">
        <v>0</v>
      </c>
      <c r="AS43" s="80" t="n">
        <v>0</v>
      </c>
      <c r="AT43" s="80" t="n">
        <v>66</v>
      </c>
      <c r="AU43" s="80" t="n">
        <v>62</v>
      </c>
      <c r="AV43" s="80" t="n">
        <v>61</v>
      </c>
      <c r="AW43" s="80" t="n">
        <v>95</v>
      </c>
      <c r="AX43" s="77" t="n">
        <v>0.02901263453439401</v>
      </c>
      <c r="AY43" s="77" t="n">
        <v>0.02854468881609733</v>
      </c>
      <c r="AZ43" s="77" t="n">
        <v>0.04445484323818437</v>
      </c>
      <c r="BA43" s="77" t="n">
        <v>0.1662125340599455</v>
      </c>
      <c r="BB43" s="80" t="n">
        <v>0</v>
      </c>
      <c r="BC43" s="80" t="n">
        <v>0</v>
      </c>
      <c r="BD43" s="78" t="n">
        <v>0.9814814814814815</v>
      </c>
      <c r="BE43" s="78" t="n">
        <v>1</v>
      </c>
      <c r="BF43" s="78" t="inlineStr">
        <is>
          <t>-</t>
        </is>
      </c>
    </row>
    <row r="44" ht="19.55" customHeight="1">
      <c r="A44" s="81" t="n">
        <v>41</v>
      </c>
      <c r="B44" s="76" t="inlineStr">
        <is>
          <t>全国</t>
        </is>
      </c>
      <c r="C44" s="82" t="n">
        <v>46123</v>
      </c>
      <c r="D44" s="76" t="inlineStr">
        <is>
          <t>N6</t>
        </is>
      </c>
      <c r="E44" s="76" t="n">
        <v>2006</v>
      </c>
      <c r="F44" s="76" t="n">
        <v>1771</v>
      </c>
      <c r="G44" s="77" t="n">
        <v>0.882851445663011</v>
      </c>
      <c r="H44" s="76" t="n">
        <v>953</v>
      </c>
      <c r="I44" s="78" t="n">
        <v>0.4750747756729811</v>
      </c>
      <c r="J44" s="76" t="n">
        <v>2797</v>
      </c>
      <c r="K44" s="76" t="n">
        <v>2725</v>
      </c>
      <c r="L44" s="77" t="n">
        <v>0.974</v>
      </c>
      <c r="M44" s="76" t="n">
        <v>12095</v>
      </c>
      <c r="N44" s="76" t="n">
        <v>12156</v>
      </c>
      <c r="O44" s="76" t="n">
        <v>11882</v>
      </c>
      <c r="P44" s="77" t="n">
        <v>0.9823894171145101</v>
      </c>
      <c r="Q44" s="76" t="n">
        <v>30</v>
      </c>
      <c r="R44" s="76" t="n">
        <v>0</v>
      </c>
      <c r="S44" s="76" t="n">
        <v>0</v>
      </c>
      <c r="T44" s="77" t="n">
        <v>0</v>
      </c>
      <c r="U44" s="76" t="n">
        <v>0</v>
      </c>
      <c r="V44" s="77" t="n">
        <v>0</v>
      </c>
      <c r="W44" s="76" t="n">
        <v>2161</v>
      </c>
      <c r="X44" s="77" t="n">
        <v>1.077268195413759</v>
      </c>
      <c r="Y44" s="76" t="n">
        <v>650</v>
      </c>
      <c r="Z44" s="79" t="n">
        <v>0.3240279162512463</v>
      </c>
      <c r="AA44" s="76" t="n">
        <v>28</v>
      </c>
      <c r="AB44" s="77" t="n">
        <v>0.01395812562313061</v>
      </c>
      <c r="AC44" s="76" t="n">
        <v>310</v>
      </c>
      <c r="AD44" s="77" t="n">
        <v>0.1545363908275174</v>
      </c>
      <c r="AE44" s="76" t="n">
        <v>43</v>
      </c>
      <c r="AF44" s="77" t="n">
        <v>0.1387096774193548</v>
      </c>
      <c r="AG44" s="76" t="n">
        <v>281</v>
      </c>
      <c r="AH44" s="77" t="n">
        <v>0.9064516129032258</v>
      </c>
      <c r="AI44" s="80" t="n">
        <v>301</v>
      </c>
      <c r="AJ44" s="77" t="n">
        <v>0.150049850448654</v>
      </c>
      <c r="AK44" s="80" t="n">
        <v>0</v>
      </c>
      <c r="AL44" s="77" t="n">
        <v>0.8504983388704319</v>
      </c>
      <c r="AM44" s="80" t="n">
        <v>300</v>
      </c>
      <c r="AN44" s="80" t="n">
        <v>256</v>
      </c>
      <c r="AO44" s="77" t="n">
        <v>0.127617148554337</v>
      </c>
      <c r="AP44" s="77" t="n">
        <v>0.8258064516129032</v>
      </c>
      <c r="AQ44" s="78" t="n">
        <v>0.9651162790697675</v>
      </c>
      <c r="AR44" s="80" t="n">
        <v>0</v>
      </c>
      <c r="AS44" s="80" t="n">
        <v>0</v>
      </c>
      <c r="AT44" s="80" t="n">
        <v>71</v>
      </c>
      <c r="AU44" s="80" t="n">
        <v>62</v>
      </c>
      <c r="AV44" s="80" t="n">
        <v>58</v>
      </c>
      <c r="AW44" s="80" t="n">
        <v>60</v>
      </c>
      <c r="AX44" s="77" t="n">
        <v>0.03090727816550349</v>
      </c>
      <c r="AY44" s="77" t="n">
        <v>0.02891326021934197</v>
      </c>
      <c r="AZ44" s="77" t="n">
        <v>0.02991026919242273</v>
      </c>
      <c r="BA44" s="77" t="n">
        <v>0.2265625</v>
      </c>
      <c r="BB44" s="80" t="n">
        <v>0</v>
      </c>
      <c r="BC44" s="80" t="n">
        <v>0</v>
      </c>
      <c r="BD44" s="78" t="n">
        <v>1</v>
      </c>
      <c r="BE44" s="78" t="n">
        <v>1</v>
      </c>
      <c r="BF44" s="78" t="inlineStr">
        <is>
          <t>-</t>
        </is>
      </c>
    </row>
    <row r="45" ht="19.55" customHeight="1">
      <c r="A45" s="81" t="n">
        <v>42</v>
      </c>
      <c r="B45" s="76" t="inlineStr">
        <is>
          <t>全国</t>
        </is>
      </c>
      <c r="C45" s="82" t="n">
        <v>46123</v>
      </c>
      <c r="D45" s="76" t="inlineStr">
        <is>
          <t>N7</t>
        </is>
      </c>
      <c r="E45" s="76" t="n">
        <v>2275</v>
      </c>
      <c r="F45" s="76" t="n">
        <v>1929</v>
      </c>
      <c r="G45" s="77" t="n">
        <v>0.8479120879120879</v>
      </c>
      <c r="H45" s="76" t="n">
        <v>1001</v>
      </c>
      <c r="I45" s="78" t="n">
        <v>0.44</v>
      </c>
      <c r="J45" s="76" t="n">
        <v>1825</v>
      </c>
      <c r="K45" s="76" t="n">
        <v>1779</v>
      </c>
      <c r="L45" s="77" t="n">
        <v>0.975</v>
      </c>
      <c r="M45" s="76" t="n">
        <v>9756</v>
      </c>
      <c r="N45" s="76" t="n">
        <v>10084</v>
      </c>
      <c r="O45" s="76" t="n">
        <v>9596</v>
      </c>
      <c r="P45" s="77" t="n">
        <v>0.98359983599836</v>
      </c>
      <c r="Q45" s="76" t="n">
        <v>27</v>
      </c>
      <c r="R45" s="76" t="n">
        <v>0</v>
      </c>
      <c r="S45" s="76" t="n">
        <v>0</v>
      </c>
      <c r="T45" s="77" t="n">
        <v>0</v>
      </c>
      <c r="U45" s="76" t="n">
        <v>0</v>
      </c>
      <c r="V45" s="77" t="n">
        <v>0</v>
      </c>
      <c r="W45" s="76" t="n">
        <v>1953</v>
      </c>
      <c r="X45" s="77" t="n">
        <v>0.8584615384615385</v>
      </c>
      <c r="Y45" s="76" t="n">
        <v>644</v>
      </c>
      <c r="Z45" s="79" t="n">
        <v>0.2830769230769231</v>
      </c>
      <c r="AA45" s="76" t="n">
        <v>21</v>
      </c>
      <c r="AB45" s="77" t="n">
        <v>0.009230769230769232</v>
      </c>
      <c r="AC45" s="76" t="n">
        <v>396</v>
      </c>
      <c r="AD45" s="77" t="n">
        <v>0.1740659340659341</v>
      </c>
      <c r="AE45" s="76" t="n">
        <v>44</v>
      </c>
      <c r="AF45" s="77" t="n">
        <v>0.1111111111111111</v>
      </c>
      <c r="AG45" s="76" t="n">
        <v>361</v>
      </c>
      <c r="AH45" s="77" t="n">
        <v>0.9116161616161617</v>
      </c>
      <c r="AI45" s="80" t="n">
        <v>385</v>
      </c>
      <c r="AJ45" s="77" t="n">
        <v>0.1692307692307692</v>
      </c>
      <c r="AK45" s="80" t="n">
        <v>1</v>
      </c>
      <c r="AL45" s="77" t="n">
        <v>0.8389610389610389</v>
      </c>
      <c r="AM45" s="80" t="n">
        <v>381</v>
      </c>
      <c r="AN45" s="80" t="n">
        <v>323</v>
      </c>
      <c r="AO45" s="77" t="n">
        <v>0.141978021978022</v>
      </c>
      <c r="AP45" s="77" t="n">
        <v>0.8156565656565656</v>
      </c>
      <c r="AQ45" s="78" t="n">
        <v>0.9732620320855615</v>
      </c>
      <c r="AR45" s="80" t="n">
        <v>0</v>
      </c>
      <c r="AS45" s="80" t="n">
        <v>0</v>
      </c>
      <c r="AT45" s="80" t="n">
        <v>81</v>
      </c>
      <c r="AU45" s="80" t="n">
        <v>70</v>
      </c>
      <c r="AV45" s="80" t="n">
        <v>64</v>
      </c>
      <c r="AW45" s="80" t="n">
        <v>31</v>
      </c>
      <c r="AX45" s="77" t="n">
        <v>0.03076923076923077</v>
      </c>
      <c r="AY45" s="77" t="n">
        <v>0.02813186813186813</v>
      </c>
      <c r="AZ45" s="77" t="n">
        <v>0.01362637362637363</v>
      </c>
      <c r="BA45" s="77" t="n">
        <v>0.1981424148606811</v>
      </c>
      <c r="BB45" s="80" t="n">
        <v>0</v>
      </c>
      <c r="BC45" s="80" t="n">
        <v>0</v>
      </c>
      <c r="BD45" s="78" t="n">
        <v>1</v>
      </c>
      <c r="BE45" s="78" t="n">
        <v>1</v>
      </c>
      <c r="BF45" s="78" t="inlineStr">
        <is>
          <t>-</t>
        </is>
      </c>
    </row>
    <row r="46" ht="19.55" customHeight="1">
      <c r="A46" s="81" t="n">
        <v>43</v>
      </c>
      <c r="B46" s="76" t="inlineStr">
        <is>
          <t>全国</t>
        </is>
      </c>
      <c r="C46" s="82" t="n">
        <v>46123</v>
      </c>
      <c r="D46" s="76" t="inlineStr">
        <is>
          <t>NX8</t>
        </is>
      </c>
      <c r="E46" s="76" t="n">
        <v>9590</v>
      </c>
      <c r="F46" s="76" t="n">
        <v>8148</v>
      </c>
      <c r="G46" s="77" t="n">
        <v>0.8496350364963504</v>
      </c>
      <c r="H46" s="76" t="n">
        <v>3503</v>
      </c>
      <c r="I46" s="78" t="n">
        <v>0.3652763295099061</v>
      </c>
      <c r="J46" s="76" t="n">
        <v>6994</v>
      </c>
      <c r="K46" s="76" t="n">
        <v>6844</v>
      </c>
      <c r="L46" s="77" t="n">
        <v>0.979</v>
      </c>
      <c r="M46" s="76" t="n">
        <v>21823</v>
      </c>
      <c r="N46" s="76" t="n">
        <v>25739</v>
      </c>
      <c r="O46" s="76" t="n">
        <v>21412</v>
      </c>
      <c r="P46" s="77" t="n">
        <v>0.9811666590294643</v>
      </c>
      <c r="Q46" s="76" t="n">
        <v>47</v>
      </c>
      <c r="R46" s="76" t="n">
        <v>0</v>
      </c>
      <c r="S46" s="76" t="n">
        <v>0</v>
      </c>
      <c r="T46" s="77" t="n">
        <v>0</v>
      </c>
      <c r="U46" s="76" t="n">
        <v>0</v>
      </c>
      <c r="V46" s="77" t="n">
        <v>0</v>
      </c>
      <c r="W46" s="76" t="n">
        <v>894</v>
      </c>
      <c r="X46" s="77" t="n">
        <v>0.09322210636079249</v>
      </c>
      <c r="Y46" s="76" t="n">
        <v>806</v>
      </c>
      <c r="Z46" s="79" t="n">
        <v>0.0840458811261731</v>
      </c>
      <c r="AA46" s="76" t="n">
        <v>0</v>
      </c>
      <c r="AB46" s="77" t="n">
        <v>0</v>
      </c>
      <c r="AC46" s="76" t="n">
        <v>2686</v>
      </c>
      <c r="AD46" s="77" t="n">
        <v>0.2800834202294056</v>
      </c>
      <c r="AE46" s="76" t="n">
        <v>535</v>
      </c>
      <c r="AF46" s="77" t="n">
        <v>0.199180938198064</v>
      </c>
      <c r="AG46" s="76" t="n">
        <v>2451</v>
      </c>
      <c r="AH46" s="77" t="n">
        <v>0.9125093075204765</v>
      </c>
      <c r="AI46" s="80" t="n">
        <v>2739</v>
      </c>
      <c r="AJ46" s="77" t="n">
        <v>0.2856100104275286</v>
      </c>
      <c r="AK46" s="80" t="n">
        <v>32</v>
      </c>
      <c r="AL46" s="77" t="n">
        <v>0.7802117561153705</v>
      </c>
      <c r="AM46" s="80" t="n">
        <v>2726</v>
      </c>
      <c r="AN46" s="80" t="n">
        <v>2137</v>
      </c>
      <c r="AO46" s="77" t="n">
        <v>0.2228362877997914</v>
      </c>
      <c r="AP46" s="77" t="n">
        <v>0.7956068503350707</v>
      </c>
      <c r="AQ46" s="78" t="n">
        <v>0.9662849872773537</v>
      </c>
      <c r="AR46" s="80" t="n">
        <v>0</v>
      </c>
      <c r="AS46" s="80" t="n">
        <v>0</v>
      </c>
      <c r="AT46" s="80" t="n">
        <v>654</v>
      </c>
      <c r="AU46" s="80" t="n">
        <v>566</v>
      </c>
      <c r="AV46" s="80" t="n">
        <v>589</v>
      </c>
      <c r="AW46" s="80" t="n">
        <v>10</v>
      </c>
      <c r="AX46" s="77" t="n">
        <v>0.05901981230448384</v>
      </c>
      <c r="AY46" s="77" t="n">
        <v>0.06141814389989572</v>
      </c>
      <c r="AZ46" s="77" t="n">
        <v>0.001042752867570386</v>
      </c>
      <c r="BA46" s="77" t="n">
        <v>0.2756200280767431</v>
      </c>
      <c r="BB46" s="80" t="n">
        <v>0</v>
      </c>
      <c r="BC46" s="80" t="n">
        <v>1</v>
      </c>
      <c r="BD46" s="78" t="n">
        <v>0.9781931464174455</v>
      </c>
      <c r="BE46" s="78" t="n">
        <v>0.98</v>
      </c>
      <c r="BF46" s="78" t="inlineStr">
        <is>
          <t>-</t>
        </is>
      </c>
    </row>
    <row r="47" ht="19.55" customHeight="1">
      <c r="A47" s="81" t="n">
        <v>44</v>
      </c>
      <c r="B47" s="76" t="inlineStr">
        <is>
          <t>全国</t>
        </is>
      </c>
      <c r="C47" s="82" t="n">
        <v>46123</v>
      </c>
      <c r="D47" s="76" t="inlineStr">
        <is>
          <t>天籁·鸿蒙座舱</t>
        </is>
      </c>
      <c r="E47" s="76" t="n">
        <v>3606</v>
      </c>
      <c r="F47" s="76" t="n">
        <v>3165</v>
      </c>
      <c r="G47" s="77" t="n">
        <v>0.8777038269550749</v>
      </c>
      <c r="H47" s="76" t="n">
        <v>2053</v>
      </c>
      <c r="I47" s="78" t="n">
        <v>0.5693288962839712</v>
      </c>
      <c r="J47" s="76" t="n">
        <v>3823</v>
      </c>
      <c r="K47" s="76" t="n">
        <v>3738</v>
      </c>
      <c r="L47" s="77" t="n">
        <v>0.978</v>
      </c>
      <c r="M47" s="76" t="n">
        <v>18559</v>
      </c>
      <c r="N47" s="76" t="n">
        <v>18966</v>
      </c>
      <c r="O47" s="76" t="n">
        <v>18297</v>
      </c>
      <c r="P47" s="77" t="n">
        <v>0.9858828600678916</v>
      </c>
      <c r="Q47" s="76" t="n">
        <v>30</v>
      </c>
      <c r="R47" s="76" t="n">
        <v>0</v>
      </c>
      <c r="S47" s="76" t="n">
        <v>0</v>
      </c>
      <c r="T47" s="77" t="n">
        <v>0</v>
      </c>
      <c r="U47" s="76" t="n">
        <v>0</v>
      </c>
      <c r="V47" s="77" t="n">
        <v>0</v>
      </c>
      <c r="W47" s="76" t="n">
        <v>3359</v>
      </c>
      <c r="X47" s="77" t="n">
        <v>0.9315030504714364</v>
      </c>
      <c r="Y47" s="76" t="n">
        <v>970</v>
      </c>
      <c r="Z47" s="79" t="n">
        <v>0.2689961175818081</v>
      </c>
      <c r="AA47" s="76" t="n">
        <v>104</v>
      </c>
      <c r="AB47" s="77" t="n">
        <v>0.028840820854132</v>
      </c>
      <c r="AC47" s="76" t="n">
        <v>619</v>
      </c>
      <c r="AD47" s="77" t="n">
        <v>0.1716583471991126</v>
      </c>
      <c r="AE47" s="76" t="n">
        <v>73</v>
      </c>
      <c r="AF47" s="77" t="n">
        <v>0.1179321486268174</v>
      </c>
      <c r="AG47" s="76" t="n">
        <v>571</v>
      </c>
      <c r="AH47" s="77" t="n">
        <v>0.9224555735056543</v>
      </c>
      <c r="AI47" s="80" t="n">
        <v>586</v>
      </c>
      <c r="AJ47" s="77" t="n">
        <v>0.1625069328896284</v>
      </c>
      <c r="AK47" s="80" t="n">
        <v>1</v>
      </c>
      <c r="AL47" s="77" t="n">
        <v>0.9283276450511946</v>
      </c>
      <c r="AM47" s="80" t="n">
        <v>584</v>
      </c>
      <c r="AN47" s="80" t="n">
        <v>544</v>
      </c>
      <c r="AO47" s="77" t="n">
        <v>0.1508596783139212</v>
      </c>
      <c r="AP47" s="77" t="n">
        <v>0.8788368336025848</v>
      </c>
      <c r="AQ47" s="78" t="n">
        <v>0.9746192893401016</v>
      </c>
      <c r="AR47" s="80" t="n">
        <v>0</v>
      </c>
      <c r="AS47" s="80" t="n">
        <v>0</v>
      </c>
      <c r="AT47" s="80" t="n">
        <v>105</v>
      </c>
      <c r="AU47" s="80" t="n">
        <v>96</v>
      </c>
      <c r="AV47" s="80" t="n">
        <v>95</v>
      </c>
      <c r="AW47" s="80" t="n">
        <v>65</v>
      </c>
      <c r="AX47" s="77" t="n">
        <v>0.02662229617304493</v>
      </c>
      <c r="AY47" s="77" t="n">
        <v>0.02634498058790904</v>
      </c>
      <c r="AZ47" s="77" t="n">
        <v>0.0180255130338325</v>
      </c>
      <c r="BA47" s="77" t="n">
        <v>0.1746323529411765</v>
      </c>
      <c r="BB47" s="80" t="n">
        <v>0</v>
      </c>
      <c r="BC47" s="80" t="n">
        <v>0</v>
      </c>
      <c r="BD47" s="78" t="n">
        <v>0.9841269841269841</v>
      </c>
      <c r="BE47" s="78" t="n">
        <v>1</v>
      </c>
      <c r="BF47" s="78" t="inlineStr">
        <is>
          <t>-</t>
        </is>
      </c>
    </row>
    <row r="48" ht="19.55" customHeight="1">
      <c r="A48" s="81" t="n">
        <v>45</v>
      </c>
      <c r="B48" s="76" t="inlineStr">
        <is>
          <t>全国</t>
        </is>
      </c>
      <c r="C48" s="82" t="n">
        <v>46124</v>
      </c>
      <c r="D48" s="76" t="inlineStr">
        <is>
          <t>N6</t>
        </is>
      </c>
      <c r="E48" s="76" t="n">
        <v>2587</v>
      </c>
      <c r="F48" s="76" t="n">
        <v>2353</v>
      </c>
      <c r="G48" s="77" t="n">
        <v>0.9095477386934674</v>
      </c>
      <c r="H48" s="76" t="n">
        <v>678</v>
      </c>
      <c r="I48" s="78" t="n">
        <v>0.2620796289137998</v>
      </c>
      <c r="J48" s="76" t="n">
        <v>2414</v>
      </c>
      <c r="K48" s="76" t="n">
        <v>2338</v>
      </c>
      <c r="L48" s="77" t="n">
        <v>0.969</v>
      </c>
      <c r="M48" s="76" t="n">
        <v>10902</v>
      </c>
      <c r="N48" s="76" t="n">
        <v>11140</v>
      </c>
      <c r="O48" s="76" t="n">
        <v>10747</v>
      </c>
      <c r="P48" s="77" t="n">
        <v>0.9857824252430747</v>
      </c>
      <c r="Q48" s="76" t="n">
        <v>28</v>
      </c>
      <c r="R48" s="76" t="n">
        <v>0</v>
      </c>
      <c r="S48" s="76" t="n">
        <v>0</v>
      </c>
      <c r="T48" s="77" t="n">
        <v>0</v>
      </c>
      <c r="U48" s="76" t="n">
        <v>0</v>
      </c>
      <c r="V48" s="77" t="n">
        <v>0</v>
      </c>
      <c r="W48" s="76" t="n">
        <v>1890</v>
      </c>
      <c r="X48" s="77" t="n">
        <v>0.73057595670661</v>
      </c>
      <c r="Y48" s="76" t="n">
        <v>550</v>
      </c>
      <c r="Z48" s="79" t="n">
        <v>0.2126014688828759</v>
      </c>
      <c r="AA48" s="76" t="n">
        <v>40</v>
      </c>
      <c r="AB48" s="77" t="n">
        <v>0.0154619250096637</v>
      </c>
      <c r="AC48" s="76" t="n">
        <v>320</v>
      </c>
      <c r="AD48" s="77" t="n">
        <v>0.1236954000773096</v>
      </c>
      <c r="AE48" s="76" t="n">
        <v>35</v>
      </c>
      <c r="AF48" s="77" t="n">
        <v>0.109375</v>
      </c>
      <c r="AG48" s="76" t="n">
        <v>297</v>
      </c>
      <c r="AH48" s="77" t="n">
        <v>0.928125</v>
      </c>
      <c r="AI48" s="80" t="n">
        <v>302</v>
      </c>
      <c r="AJ48" s="77" t="n">
        <v>0.116737533822961</v>
      </c>
      <c r="AK48" s="80" t="n">
        <v>1</v>
      </c>
      <c r="AL48" s="77" t="n">
        <v>0.8443708609271523</v>
      </c>
      <c r="AM48" s="80" t="n">
        <v>300</v>
      </c>
      <c r="AN48" s="80" t="n">
        <v>255</v>
      </c>
      <c r="AO48" s="77" t="n">
        <v>0.09856977193660611</v>
      </c>
      <c r="AP48" s="77" t="n">
        <v>0.796875</v>
      </c>
      <c r="AQ48" s="78" t="n">
        <v>0.9468085106382979</v>
      </c>
      <c r="AR48" s="80" t="n">
        <v>0</v>
      </c>
      <c r="AS48" s="80" t="n">
        <v>0</v>
      </c>
      <c r="AT48" s="80" t="n">
        <v>82</v>
      </c>
      <c r="AU48" s="80" t="n">
        <v>74</v>
      </c>
      <c r="AV48" s="80" t="n">
        <v>74</v>
      </c>
      <c r="AW48" s="80" t="n">
        <v>45</v>
      </c>
      <c r="AX48" s="77" t="n">
        <v>0.02860456126787785</v>
      </c>
      <c r="AY48" s="77" t="n">
        <v>0.02860456126787785</v>
      </c>
      <c r="AZ48" s="77" t="n">
        <v>0.01739466563587166</v>
      </c>
      <c r="BA48" s="77" t="n">
        <v>0.2901960784313726</v>
      </c>
      <c r="BB48" s="80" t="n">
        <v>0</v>
      </c>
      <c r="BC48" s="80" t="n">
        <v>0</v>
      </c>
      <c r="BD48" s="78" t="n">
        <v>1</v>
      </c>
      <c r="BE48" s="78" t="n">
        <v>1</v>
      </c>
      <c r="BF48" s="78" t="inlineStr">
        <is>
          <t>-</t>
        </is>
      </c>
    </row>
    <row r="49" ht="19.55" customHeight="1">
      <c r="A49" s="81" t="n">
        <v>46</v>
      </c>
      <c r="B49" s="76" t="inlineStr">
        <is>
          <t>全国</t>
        </is>
      </c>
      <c r="C49" s="82" t="n">
        <v>46124</v>
      </c>
      <c r="D49" s="76" t="inlineStr">
        <is>
          <t>N7</t>
        </is>
      </c>
      <c r="E49" s="76" t="n">
        <v>2943</v>
      </c>
      <c r="F49" s="76" t="n">
        <v>2498</v>
      </c>
      <c r="G49" s="77" t="n">
        <v>0.8487937478763167</v>
      </c>
      <c r="H49" s="76" t="n">
        <v>1651</v>
      </c>
      <c r="I49" s="78" t="n">
        <v>0.5609921848453958</v>
      </c>
      <c r="J49" s="76" t="n">
        <v>2870</v>
      </c>
      <c r="K49" s="76" t="n">
        <v>2806</v>
      </c>
      <c r="L49" s="77" t="n">
        <v>0.978</v>
      </c>
      <c r="M49" s="76" t="n">
        <v>10989</v>
      </c>
      <c r="N49" s="76" t="n">
        <v>11437</v>
      </c>
      <c r="O49" s="76" t="n">
        <v>10839</v>
      </c>
      <c r="P49" s="77" t="n">
        <v>0.9863499863499864</v>
      </c>
      <c r="Q49" s="76" t="n">
        <v>21</v>
      </c>
      <c r="R49" s="76" t="n">
        <v>0</v>
      </c>
      <c r="S49" s="76" t="n">
        <v>0</v>
      </c>
      <c r="T49" s="77" t="n">
        <v>0</v>
      </c>
      <c r="U49" s="76" t="n">
        <v>0</v>
      </c>
      <c r="V49" s="77" t="n">
        <v>0</v>
      </c>
      <c r="W49" s="76" t="n">
        <v>1592</v>
      </c>
      <c r="X49" s="77" t="n">
        <v>0.5409446143391098</v>
      </c>
      <c r="Y49" s="76" t="n">
        <v>427</v>
      </c>
      <c r="Z49" s="79" t="n">
        <v>0.145090044172613</v>
      </c>
      <c r="AA49" s="76" t="n">
        <v>30</v>
      </c>
      <c r="AB49" s="77" t="n">
        <v>0.01019367991845056</v>
      </c>
      <c r="AC49" s="76" t="n">
        <v>394</v>
      </c>
      <c r="AD49" s="77" t="n">
        <v>0.1338769962623174</v>
      </c>
      <c r="AE49" s="76" t="n">
        <v>49</v>
      </c>
      <c r="AF49" s="77" t="n">
        <v>0.1243654822335025</v>
      </c>
      <c r="AG49" s="76" t="n">
        <v>365</v>
      </c>
      <c r="AH49" s="77" t="n">
        <v>0.9263959390862944</v>
      </c>
      <c r="AI49" s="80" t="n">
        <v>366</v>
      </c>
      <c r="AJ49" s="77" t="n">
        <v>0.1243628950050968</v>
      </c>
      <c r="AK49" s="80" t="n">
        <v>4</v>
      </c>
      <c r="AL49" s="77" t="n">
        <v>0.8579234972677595</v>
      </c>
      <c r="AM49" s="80" t="n">
        <v>367</v>
      </c>
      <c r="AN49" s="80" t="n">
        <v>314</v>
      </c>
      <c r="AO49" s="77" t="n">
        <v>0.1066938498131159</v>
      </c>
      <c r="AP49" s="77" t="n">
        <v>0.7969543147208121</v>
      </c>
      <c r="AQ49" s="78" t="n">
        <v>0.9553072625698324</v>
      </c>
      <c r="AR49" s="80" t="n">
        <v>0</v>
      </c>
      <c r="AS49" s="80" t="n">
        <v>0</v>
      </c>
      <c r="AT49" s="80" t="n">
        <v>71</v>
      </c>
      <c r="AU49" s="80" t="n">
        <v>67</v>
      </c>
      <c r="AV49" s="80" t="n">
        <v>66</v>
      </c>
      <c r="AW49" s="80" t="n">
        <v>23</v>
      </c>
      <c r="AX49" s="77" t="n">
        <v>0.02276588515120625</v>
      </c>
      <c r="AY49" s="77" t="n">
        <v>0.02242609582059123</v>
      </c>
      <c r="AZ49" s="77" t="n">
        <v>0.007815154604145429</v>
      </c>
      <c r="BA49" s="77" t="n">
        <v>0.2101910828025478</v>
      </c>
      <c r="BB49" s="80" t="n">
        <v>0</v>
      </c>
      <c r="BC49" s="80" t="n">
        <v>0</v>
      </c>
      <c r="BD49" s="78" t="n">
        <v>1</v>
      </c>
      <c r="BE49" s="78" t="n">
        <v>1</v>
      </c>
      <c r="BF49" s="78" t="inlineStr">
        <is>
          <t>-</t>
        </is>
      </c>
    </row>
    <row r="50" ht="19.55" customHeight="1">
      <c r="A50" s="81" t="n">
        <v>47</v>
      </c>
      <c r="B50" s="76" t="inlineStr">
        <is>
          <t>全国</t>
        </is>
      </c>
      <c r="C50" s="82" t="n">
        <v>46124</v>
      </c>
      <c r="D50" s="76" t="inlineStr">
        <is>
          <t>NX8</t>
        </is>
      </c>
      <c r="E50" s="76" t="n">
        <v>10313</v>
      </c>
      <c r="F50" s="76" t="n">
        <v>9019</v>
      </c>
      <c r="G50" s="77" t="n">
        <v>0.8745272956462717</v>
      </c>
      <c r="H50" s="76" t="n">
        <v>3630</v>
      </c>
      <c r="I50" s="78" t="n">
        <v>0.351982934160768</v>
      </c>
      <c r="J50" s="76" t="n">
        <v>10203</v>
      </c>
      <c r="K50" s="76" t="n">
        <v>10033</v>
      </c>
      <c r="L50" s="77" t="n">
        <v>0.983</v>
      </c>
      <c r="M50" s="76" t="n">
        <v>29574</v>
      </c>
      <c r="N50" s="76" t="n">
        <v>30859</v>
      </c>
      <c r="O50" s="76" t="n">
        <v>29157</v>
      </c>
      <c r="P50" s="77" t="n">
        <v>0.9858997768310002</v>
      </c>
      <c r="Q50" s="76" t="n">
        <v>45</v>
      </c>
      <c r="R50" s="76" t="n">
        <v>0</v>
      </c>
      <c r="S50" s="76" t="n">
        <v>0</v>
      </c>
      <c r="T50" s="77" t="n">
        <v>0</v>
      </c>
      <c r="U50" s="76" t="n">
        <v>0</v>
      </c>
      <c r="V50" s="77" t="n">
        <v>0</v>
      </c>
      <c r="W50" s="76" t="n">
        <v>870</v>
      </c>
      <c r="X50" s="77" t="n">
        <v>0.08435954620382043</v>
      </c>
      <c r="Y50" s="76" t="n">
        <v>877</v>
      </c>
      <c r="Z50" s="79" t="n">
        <v>0.08503830117327645</v>
      </c>
      <c r="AA50" s="76" t="n">
        <v>0</v>
      </c>
      <c r="AB50" s="77" t="n">
        <v>0</v>
      </c>
      <c r="AC50" s="76" t="n">
        <v>2684</v>
      </c>
      <c r="AD50" s="77" t="n">
        <v>0.2602540482885679</v>
      </c>
      <c r="AE50" s="76" t="n">
        <v>484</v>
      </c>
      <c r="AF50" s="77" t="n">
        <v>0.180327868852459</v>
      </c>
      <c r="AG50" s="76" t="n">
        <v>2446</v>
      </c>
      <c r="AH50" s="77" t="n">
        <v>0.9113263785394933</v>
      </c>
      <c r="AI50" s="80" t="n">
        <v>2658</v>
      </c>
      <c r="AJ50" s="77" t="n">
        <v>0.2577329584020169</v>
      </c>
      <c r="AK50" s="80" t="n">
        <v>22</v>
      </c>
      <c r="AL50" s="77" t="n">
        <v>0.791948833709556</v>
      </c>
      <c r="AM50" s="80" t="n">
        <v>2651</v>
      </c>
      <c r="AN50" s="80" t="n">
        <v>2105</v>
      </c>
      <c r="AO50" s="77" t="n">
        <v>0.2041113158149908</v>
      </c>
      <c r="AP50" s="77" t="n">
        <v>0.7842771982116244</v>
      </c>
      <c r="AQ50" s="78" t="n">
        <v>0.9723210755239226</v>
      </c>
      <c r="AR50" s="80" t="n">
        <v>0</v>
      </c>
      <c r="AS50" s="80" t="n">
        <v>0</v>
      </c>
      <c r="AT50" s="80" t="n">
        <v>1440</v>
      </c>
      <c r="AU50" s="80" t="n">
        <v>1314</v>
      </c>
      <c r="AV50" s="80" t="n">
        <v>884</v>
      </c>
      <c r="AW50" s="80" t="n">
        <v>11</v>
      </c>
      <c r="AX50" s="77" t="n">
        <v>0.1274120042664598</v>
      </c>
      <c r="AY50" s="77" t="n">
        <v>0.08571705614273248</v>
      </c>
      <c r="AZ50" s="77" t="n">
        <v>0.001066614952002327</v>
      </c>
      <c r="BA50" s="77" t="n">
        <v>0.4199524940617577</v>
      </c>
      <c r="BB50" s="80" t="n">
        <v>0</v>
      </c>
      <c r="BC50" s="80" t="n">
        <v>1</v>
      </c>
      <c r="BD50" s="78" t="n">
        <v>0.967741935483871</v>
      </c>
      <c r="BE50" s="78" t="n">
        <v>1</v>
      </c>
      <c r="BF50" s="78" t="inlineStr">
        <is>
          <t>-</t>
        </is>
      </c>
    </row>
    <row r="51" ht="19.55" customHeight="1">
      <c r="A51" s="81" t="n">
        <v>48</v>
      </c>
      <c r="B51" s="76" t="inlineStr">
        <is>
          <t>全国</t>
        </is>
      </c>
      <c r="C51" s="82" t="n">
        <v>46124</v>
      </c>
      <c r="D51" s="76" t="inlineStr">
        <is>
          <t>天籁·鸿蒙座舱</t>
        </is>
      </c>
      <c r="E51" s="76" t="n">
        <v>3418</v>
      </c>
      <c r="F51" s="76" t="n">
        <v>3028</v>
      </c>
      <c r="G51" s="77" t="n">
        <v>0.8858981860737273</v>
      </c>
      <c r="H51" s="76" t="n">
        <v>1693</v>
      </c>
      <c r="I51" s="78" t="n">
        <v>0.4953188999414863</v>
      </c>
      <c r="J51" s="76" t="n">
        <v>3203</v>
      </c>
      <c r="K51" s="76" t="n">
        <v>3117</v>
      </c>
      <c r="L51" s="77" t="n">
        <v>0.973</v>
      </c>
      <c r="M51" s="76" t="n">
        <v>17571</v>
      </c>
      <c r="N51" s="76" t="n">
        <v>17997</v>
      </c>
      <c r="O51" s="76" t="n">
        <v>17365</v>
      </c>
      <c r="P51" s="77" t="n">
        <v>0.9882761368163451</v>
      </c>
      <c r="Q51" s="76" t="n">
        <v>32</v>
      </c>
      <c r="R51" s="76" t="n">
        <v>0</v>
      </c>
      <c r="S51" s="76" t="n">
        <v>0</v>
      </c>
      <c r="T51" s="77" t="n">
        <v>0</v>
      </c>
      <c r="U51" s="76" t="n">
        <v>0</v>
      </c>
      <c r="V51" s="77" t="n">
        <v>0</v>
      </c>
      <c r="W51" s="76" t="n">
        <v>2518</v>
      </c>
      <c r="X51" s="77" t="n">
        <v>0.7366881217086015</v>
      </c>
      <c r="Y51" s="76" t="n">
        <v>664</v>
      </c>
      <c r="Z51" s="79" t="n">
        <v>0.1942656524283207</v>
      </c>
      <c r="AA51" s="76" t="n">
        <v>93</v>
      </c>
      <c r="AB51" s="77" t="n">
        <v>0.02720889409011118</v>
      </c>
      <c r="AC51" s="76" t="n">
        <v>628</v>
      </c>
      <c r="AD51" s="77" t="n">
        <v>0.1837331772966647</v>
      </c>
      <c r="AE51" s="76" t="n">
        <v>66</v>
      </c>
      <c r="AF51" s="77" t="n">
        <v>0.1050955414012739</v>
      </c>
      <c r="AG51" s="76" t="n">
        <v>584</v>
      </c>
      <c r="AH51" s="77" t="n">
        <v>0.9299363057324841</v>
      </c>
      <c r="AI51" s="80" t="n">
        <v>623</v>
      </c>
      <c r="AJ51" s="77" t="n">
        <v>0.1822703335283792</v>
      </c>
      <c r="AK51" s="80" t="n">
        <v>2</v>
      </c>
      <c r="AL51" s="77" t="n">
        <v>0.9373996789727127</v>
      </c>
      <c r="AM51" s="80" t="n">
        <v>621</v>
      </c>
      <c r="AN51" s="80" t="n">
        <v>584</v>
      </c>
      <c r="AO51" s="77" t="n">
        <v>0.1708601521357519</v>
      </c>
      <c r="AP51" s="77" t="n">
        <v>0.9299363057324841</v>
      </c>
      <c r="AQ51" s="78" t="n">
        <v>0.9722703639514731</v>
      </c>
      <c r="AR51" s="80" t="n">
        <v>0</v>
      </c>
      <c r="AS51" s="80" t="n">
        <v>0</v>
      </c>
      <c r="AT51" s="80" t="n">
        <v>119</v>
      </c>
      <c r="AU51" s="80" t="n">
        <v>116</v>
      </c>
      <c r="AV51" s="80" t="n">
        <v>112</v>
      </c>
      <c r="AW51" s="80" t="n">
        <v>52</v>
      </c>
      <c r="AX51" s="77" t="n">
        <v>0.03393797542422469</v>
      </c>
      <c r="AY51" s="77" t="n">
        <v>0.03276770040959626</v>
      </c>
      <c r="AZ51" s="77" t="n">
        <v>0.01521357519016969</v>
      </c>
      <c r="BA51" s="77" t="n">
        <v>0.1917808219178082</v>
      </c>
      <c r="BB51" s="80" t="n">
        <v>0</v>
      </c>
      <c r="BC51" s="80" t="n">
        <v>1</v>
      </c>
      <c r="BD51" s="78" t="n">
        <v>0.9827586206896551</v>
      </c>
      <c r="BE51" s="78" t="n">
        <v>0.9166666666666666</v>
      </c>
      <c r="BF51" s="78" t="inlineStr">
        <is>
          <t>-</t>
        </is>
      </c>
    </row>
    <row r="52" ht="19.55" customHeight="1">
      <c r="A52" s="81" t="n">
        <v>49</v>
      </c>
      <c r="B52" s="76" t="inlineStr">
        <is>
          <t>全国</t>
        </is>
      </c>
      <c r="C52" s="82" t="n">
        <v>46125</v>
      </c>
      <c r="D52" s="76" t="inlineStr">
        <is>
          <t>N6</t>
        </is>
      </c>
      <c r="E52" s="76" t="n">
        <v>1872</v>
      </c>
      <c r="F52" s="76" t="n">
        <v>1712</v>
      </c>
      <c r="G52" s="77" t="n">
        <v>0.9145299145299145</v>
      </c>
      <c r="H52" s="76" t="n">
        <v>575</v>
      </c>
      <c r="I52" s="78" t="n">
        <v>0.3071581196581197</v>
      </c>
      <c r="J52" s="76" t="n">
        <v>2274</v>
      </c>
      <c r="K52" s="76" t="n">
        <v>2199</v>
      </c>
      <c r="L52" s="77" t="n">
        <v>0.967</v>
      </c>
      <c r="M52" s="76" t="n">
        <v>10600</v>
      </c>
      <c r="N52" s="76" t="n">
        <v>9954</v>
      </c>
      <c r="O52" s="76" t="n">
        <v>10424</v>
      </c>
      <c r="P52" s="77" t="n">
        <v>0.9833962264150944</v>
      </c>
      <c r="Q52" s="76" t="n">
        <v>34</v>
      </c>
      <c r="R52" s="76" t="n">
        <v>0</v>
      </c>
      <c r="S52" s="76" t="n">
        <v>0</v>
      </c>
      <c r="T52" s="77" t="n">
        <v>0</v>
      </c>
      <c r="U52" s="76" t="n">
        <v>0</v>
      </c>
      <c r="V52" s="77" t="n">
        <v>0</v>
      </c>
      <c r="W52" s="76" t="n">
        <v>1573</v>
      </c>
      <c r="X52" s="77" t="n">
        <v>0.8402777777777778</v>
      </c>
      <c r="Y52" s="76" t="n">
        <v>703</v>
      </c>
      <c r="Z52" s="79" t="n">
        <v>0.375534188034188</v>
      </c>
      <c r="AA52" s="76" t="n">
        <v>24</v>
      </c>
      <c r="AB52" s="77" t="n">
        <v>0.01282051282051282</v>
      </c>
      <c r="AC52" s="76" t="n">
        <v>184</v>
      </c>
      <c r="AD52" s="77" t="n">
        <v>0.09829059829059829</v>
      </c>
      <c r="AE52" s="76" t="n">
        <v>18</v>
      </c>
      <c r="AF52" s="77" t="n">
        <v>0.09782608695652174</v>
      </c>
      <c r="AG52" s="76" t="n">
        <v>171</v>
      </c>
      <c r="AH52" s="77" t="n">
        <v>0.9293478260869565</v>
      </c>
      <c r="AI52" s="80" t="n">
        <v>173</v>
      </c>
      <c r="AJ52" s="77" t="n">
        <v>0.09241452991452992</v>
      </c>
      <c r="AK52" s="80" t="n">
        <v>0</v>
      </c>
      <c r="AL52" s="77" t="n">
        <v>0.8728323699421965</v>
      </c>
      <c r="AM52" s="80" t="n">
        <v>173</v>
      </c>
      <c r="AN52" s="80" t="n">
        <v>151</v>
      </c>
      <c r="AO52" s="77" t="n">
        <v>0.08066239316239317</v>
      </c>
      <c r="AP52" s="77" t="n">
        <v>0.8206521739130435</v>
      </c>
      <c r="AQ52" s="78" t="n">
        <v>0.9759450171821306</v>
      </c>
      <c r="AR52" s="80" t="n">
        <v>0</v>
      </c>
      <c r="AS52" s="80" t="n">
        <v>0</v>
      </c>
      <c r="AT52" s="80" t="n">
        <v>60</v>
      </c>
      <c r="AU52" s="80" t="n">
        <v>54</v>
      </c>
      <c r="AV52" s="80" t="n">
        <v>56</v>
      </c>
      <c r="AW52" s="80" t="n">
        <v>70</v>
      </c>
      <c r="AX52" s="77" t="n">
        <v>0.02884615384615385</v>
      </c>
      <c r="AY52" s="77" t="n">
        <v>0.02991452991452992</v>
      </c>
      <c r="AZ52" s="77" t="n">
        <v>0.03739316239316239</v>
      </c>
      <c r="BA52" s="77" t="n">
        <v>0.3708609271523179</v>
      </c>
      <c r="BB52" s="80" t="n">
        <v>0</v>
      </c>
      <c r="BC52" s="80" t="n">
        <v>0</v>
      </c>
      <c r="BD52" s="78" t="n">
        <v>0.9629629629629629</v>
      </c>
      <c r="BE52" s="78" t="n">
        <v>1</v>
      </c>
      <c r="BF52" s="78" t="inlineStr">
        <is>
          <t>-</t>
        </is>
      </c>
    </row>
    <row r="53" ht="19.55" customHeight="1">
      <c r="A53" s="81" t="n">
        <v>50</v>
      </c>
      <c r="B53" s="76" t="inlineStr">
        <is>
          <t>全国</t>
        </is>
      </c>
      <c r="C53" s="82" t="n">
        <v>46125</v>
      </c>
      <c r="D53" s="76" t="inlineStr">
        <is>
          <t>N7</t>
        </is>
      </c>
      <c r="E53" s="76" t="n">
        <v>2266</v>
      </c>
      <c r="F53" s="76" t="n">
        <v>2033</v>
      </c>
      <c r="G53" s="77" t="n">
        <v>0.8971756398940864</v>
      </c>
      <c r="H53" s="76" t="n">
        <v>1416</v>
      </c>
      <c r="I53" s="78" t="n">
        <v>0.6248896734333628</v>
      </c>
      <c r="J53" s="76" t="n">
        <v>2435</v>
      </c>
      <c r="K53" s="76" t="n">
        <v>2383</v>
      </c>
      <c r="L53" s="77" t="n">
        <v>0.979</v>
      </c>
      <c r="M53" s="76" t="n">
        <v>10584</v>
      </c>
      <c r="N53" s="76" t="n">
        <v>9775</v>
      </c>
      <c r="O53" s="76" t="n">
        <v>10421</v>
      </c>
      <c r="P53" s="77" t="n">
        <v>0.984599395313681</v>
      </c>
      <c r="Q53" s="76" t="n">
        <v>22</v>
      </c>
      <c r="R53" s="76" t="n">
        <v>0</v>
      </c>
      <c r="S53" s="76" t="n">
        <v>0</v>
      </c>
      <c r="T53" s="77" t="n">
        <v>0</v>
      </c>
      <c r="U53" s="76" t="n">
        <v>0</v>
      </c>
      <c r="V53" s="77" t="n">
        <v>0</v>
      </c>
      <c r="W53" s="76" t="n">
        <v>1308</v>
      </c>
      <c r="X53" s="77" t="n">
        <v>0.5772285966460724</v>
      </c>
      <c r="Y53" s="76" t="n">
        <v>645</v>
      </c>
      <c r="Z53" s="79" t="n">
        <v>0.2846425419240953</v>
      </c>
      <c r="AA53" s="76" t="n">
        <v>17</v>
      </c>
      <c r="AB53" s="77" t="n">
        <v>0.007502206531332745</v>
      </c>
      <c r="AC53" s="76" t="n">
        <v>198</v>
      </c>
      <c r="AD53" s="77" t="n">
        <v>0.08737864077669903</v>
      </c>
      <c r="AE53" s="76" t="n">
        <v>30</v>
      </c>
      <c r="AF53" s="77" t="n">
        <v>0.1515151515151515</v>
      </c>
      <c r="AG53" s="76" t="n">
        <v>183</v>
      </c>
      <c r="AH53" s="77" t="n">
        <v>0.9242424242424242</v>
      </c>
      <c r="AI53" s="80" t="n">
        <v>172</v>
      </c>
      <c r="AJ53" s="77" t="n">
        <v>0.07590467784642542</v>
      </c>
      <c r="AK53" s="80" t="n">
        <v>0</v>
      </c>
      <c r="AL53" s="77" t="n">
        <v>0.8197674418604651</v>
      </c>
      <c r="AM53" s="80" t="n">
        <v>172</v>
      </c>
      <c r="AN53" s="80" t="n">
        <v>141</v>
      </c>
      <c r="AO53" s="77" t="n">
        <v>0.06222418358340689</v>
      </c>
      <c r="AP53" s="77" t="n">
        <v>0.7121212121212122</v>
      </c>
      <c r="AQ53" s="78" t="n">
        <v>0.9715909090909091</v>
      </c>
      <c r="AR53" s="80" t="n">
        <v>0</v>
      </c>
      <c r="AS53" s="80" t="n">
        <v>0</v>
      </c>
      <c r="AT53" s="80" t="n">
        <v>63</v>
      </c>
      <c r="AU53" s="80" t="n">
        <v>53</v>
      </c>
      <c r="AV53" s="80" t="n">
        <v>55</v>
      </c>
      <c r="AW53" s="80" t="n">
        <v>49</v>
      </c>
      <c r="AX53" s="77" t="n">
        <v>0.0233892321270962</v>
      </c>
      <c r="AY53" s="77" t="n">
        <v>0.02427184466019417</v>
      </c>
      <c r="AZ53" s="77" t="n">
        <v>0.02162400706090026</v>
      </c>
      <c r="BA53" s="77" t="n">
        <v>0.3900709219858156</v>
      </c>
      <c r="BB53" s="80" t="n">
        <v>0</v>
      </c>
      <c r="BC53" s="80" t="n">
        <v>0</v>
      </c>
      <c r="BD53" s="78" t="n">
        <v>0.9523809523809523</v>
      </c>
      <c r="BE53" s="78" t="n">
        <v>1</v>
      </c>
      <c r="BF53" s="78" t="inlineStr">
        <is>
          <t>-</t>
        </is>
      </c>
    </row>
    <row r="54" ht="19.55" customHeight="1">
      <c r="A54" s="81" t="n">
        <v>51</v>
      </c>
      <c r="B54" s="76" t="inlineStr">
        <is>
          <t>全国</t>
        </is>
      </c>
      <c r="C54" s="82" t="n">
        <v>46125</v>
      </c>
      <c r="D54" s="76" t="inlineStr">
        <is>
          <t>NX8</t>
        </is>
      </c>
      <c r="E54" s="76" t="n">
        <v>7607</v>
      </c>
      <c r="F54" s="76" t="n">
        <v>6820</v>
      </c>
      <c r="G54" s="77" t="n">
        <v>0.896542658078086</v>
      </c>
      <c r="H54" s="76" t="n">
        <v>3259</v>
      </c>
      <c r="I54" s="78" t="n">
        <v>0.4284211910082819</v>
      </c>
      <c r="J54" s="76" t="n">
        <v>9743</v>
      </c>
      <c r="K54" s="76" t="n">
        <v>9500</v>
      </c>
      <c r="L54" s="77" t="n">
        <v>0.975</v>
      </c>
      <c r="M54" s="76" t="n">
        <v>26993</v>
      </c>
      <c r="N54" s="76" t="n">
        <v>23824</v>
      </c>
      <c r="O54" s="76" t="n">
        <v>26521</v>
      </c>
      <c r="P54" s="77" t="n">
        <v>0.9825139851072501</v>
      </c>
      <c r="Q54" s="76" t="n">
        <v>95</v>
      </c>
      <c r="R54" s="76" t="n">
        <v>0</v>
      </c>
      <c r="S54" s="76" t="n">
        <v>0</v>
      </c>
      <c r="T54" s="77" t="n">
        <v>0</v>
      </c>
      <c r="U54" s="76" t="n">
        <v>0</v>
      </c>
      <c r="V54" s="77" t="n">
        <v>0</v>
      </c>
      <c r="W54" s="76" t="n">
        <v>824</v>
      </c>
      <c r="X54" s="77" t="n">
        <v>0.1083212830287893</v>
      </c>
      <c r="Y54" s="76" t="n">
        <v>817</v>
      </c>
      <c r="Z54" s="79" t="n">
        <v>0.1074010779545156</v>
      </c>
      <c r="AA54" s="76" t="n">
        <v>0</v>
      </c>
      <c r="AB54" s="77" t="n">
        <v>0</v>
      </c>
      <c r="AC54" s="76" t="n">
        <v>1334</v>
      </c>
      <c r="AD54" s="77" t="n">
        <v>0.1753647955830157</v>
      </c>
      <c r="AE54" s="76" t="n">
        <v>231</v>
      </c>
      <c r="AF54" s="77" t="n">
        <v>0.1731634182908546</v>
      </c>
      <c r="AG54" s="76" t="n">
        <v>1216</v>
      </c>
      <c r="AH54" s="77" t="n">
        <v>0.9115442278860569</v>
      </c>
      <c r="AI54" s="80" t="n">
        <v>1328</v>
      </c>
      <c r="AJ54" s="77" t="n">
        <v>0.1745760483764953</v>
      </c>
      <c r="AK54" s="80" t="n">
        <v>1</v>
      </c>
      <c r="AL54" s="77" t="n">
        <v>0.8320783132530121</v>
      </c>
      <c r="AM54" s="80" t="n">
        <v>1328</v>
      </c>
      <c r="AN54" s="80" t="n">
        <v>1105</v>
      </c>
      <c r="AO54" s="77" t="n">
        <v>0.1452609438674905</v>
      </c>
      <c r="AP54" s="77" t="n">
        <v>0.828335832083958</v>
      </c>
      <c r="AQ54" s="78" t="n">
        <v>0.9762202753441802</v>
      </c>
      <c r="AR54" s="80" t="n">
        <v>0</v>
      </c>
      <c r="AS54" s="80" t="n">
        <v>0</v>
      </c>
      <c r="AT54" s="80" t="n">
        <v>70</v>
      </c>
      <c r="AU54" s="80" t="n">
        <v>-43</v>
      </c>
      <c r="AV54" s="80" t="n">
        <v>129</v>
      </c>
      <c r="AW54" s="80" t="n">
        <v>10</v>
      </c>
      <c r="AX54" s="77" t="n">
        <v>-0.005652688313395556</v>
      </c>
      <c r="AY54" s="77" t="n">
        <v>0.01695806494018667</v>
      </c>
      <c r="AZ54" s="77" t="n">
        <v>0.00131457867753385</v>
      </c>
      <c r="BA54" s="77" t="n">
        <v>0.1167420814479638</v>
      </c>
      <c r="BB54" s="80" t="n">
        <v>0</v>
      </c>
      <c r="BC54" s="80" t="n">
        <v>0</v>
      </c>
      <c r="BD54" s="78" t="n">
        <v>0.9797979797979798</v>
      </c>
      <c r="BE54" s="78" t="n">
        <v>0.9824561403508771</v>
      </c>
      <c r="BF54" s="78" t="inlineStr">
        <is>
          <t>-</t>
        </is>
      </c>
    </row>
    <row r="55" ht="19.55" customHeight="1">
      <c r="A55" s="81" t="n">
        <v>52</v>
      </c>
      <c r="B55" s="76" t="inlineStr">
        <is>
          <t>全国</t>
        </is>
      </c>
      <c r="C55" s="82" t="n">
        <v>46125</v>
      </c>
      <c r="D55" s="76" t="inlineStr">
        <is>
          <t>天籁·鸿蒙座舱</t>
        </is>
      </c>
      <c r="E55" s="76" t="n">
        <v>2745</v>
      </c>
      <c r="F55" s="76" t="n">
        <v>2455</v>
      </c>
      <c r="G55" s="77" t="n">
        <v>0.8943533697632058</v>
      </c>
      <c r="H55" s="76" t="n">
        <v>1438</v>
      </c>
      <c r="I55" s="78" t="n">
        <v>0.5238615664845173</v>
      </c>
      <c r="J55" s="76" t="n">
        <v>4245</v>
      </c>
      <c r="K55" s="76" t="n">
        <v>4134</v>
      </c>
      <c r="L55" s="77" t="n">
        <v>0.974</v>
      </c>
      <c r="M55" s="76" t="n">
        <v>18446</v>
      </c>
      <c r="N55" s="76" t="n">
        <v>17491</v>
      </c>
      <c r="O55" s="76" t="n">
        <v>18183</v>
      </c>
      <c r="P55" s="77" t="n">
        <v>0.9857421663233221</v>
      </c>
      <c r="Q55" s="76" t="n">
        <v>45</v>
      </c>
      <c r="R55" s="76" t="n">
        <v>0</v>
      </c>
      <c r="S55" s="76" t="n">
        <v>0</v>
      </c>
      <c r="T55" s="77" t="n">
        <v>0</v>
      </c>
      <c r="U55" s="76" t="n">
        <v>0</v>
      </c>
      <c r="V55" s="77" t="n">
        <v>0</v>
      </c>
      <c r="W55" s="76" t="n">
        <v>1873</v>
      </c>
      <c r="X55" s="77" t="n">
        <v>0.6823315118397085</v>
      </c>
      <c r="Y55" s="76" t="n">
        <v>1090</v>
      </c>
      <c r="Z55" s="79" t="n">
        <v>0.3970856102003643</v>
      </c>
      <c r="AA55" s="76" t="n">
        <v>83</v>
      </c>
      <c r="AB55" s="77" t="n">
        <v>0.0302367941712204</v>
      </c>
      <c r="AC55" s="76" t="n">
        <v>375</v>
      </c>
      <c r="AD55" s="77" t="n">
        <v>0.1366120218579235</v>
      </c>
      <c r="AE55" s="76" t="n">
        <v>58</v>
      </c>
      <c r="AF55" s="77" t="n">
        <v>0.1546666666666667</v>
      </c>
      <c r="AG55" s="76" t="n">
        <v>337</v>
      </c>
      <c r="AH55" s="77" t="n">
        <v>0.8986666666666666</v>
      </c>
      <c r="AI55" s="80" t="n">
        <v>375</v>
      </c>
      <c r="AJ55" s="77" t="n">
        <v>0.1366120218579235</v>
      </c>
      <c r="AK55" s="80" t="n">
        <v>0</v>
      </c>
      <c r="AL55" s="77" t="n">
        <v>0.9493333333333334</v>
      </c>
      <c r="AM55" s="80" t="n">
        <v>370</v>
      </c>
      <c r="AN55" s="80" t="n">
        <v>356</v>
      </c>
      <c r="AO55" s="77" t="n">
        <v>0.1296903460837887</v>
      </c>
      <c r="AP55" s="77" t="n">
        <v>0.9493333333333334</v>
      </c>
      <c r="AQ55" s="78" t="n">
        <v>0.9435215946843853</v>
      </c>
      <c r="AR55" s="80" t="n">
        <v>0</v>
      </c>
      <c r="AS55" s="80" t="n">
        <v>0</v>
      </c>
      <c r="AT55" s="80" t="n">
        <v>62</v>
      </c>
      <c r="AU55" s="80" t="n">
        <v>50</v>
      </c>
      <c r="AV55" s="80" t="n">
        <v>53</v>
      </c>
      <c r="AW55" s="80" t="n">
        <v>95</v>
      </c>
      <c r="AX55" s="77" t="n">
        <v>0.01821493624772313</v>
      </c>
      <c r="AY55" s="77" t="n">
        <v>0.01930783242258652</v>
      </c>
      <c r="AZ55" s="77" t="n">
        <v>0.03460837887067395</v>
      </c>
      <c r="BA55" s="77" t="n">
        <v>0.148876404494382</v>
      </c>
      <c r="BB55" s="80" t="n">
        <v>0</v>
      </c>
      <c r="BC55" s="80" t="n">
        <v>0</v>
      </c>
      <c r="BD55" s="78" t="n">
        <v>1</v>
      </c>
      <c r="BE55" s="78" t="n">
        <v>1</v>
      </c>
      <c r="BF55" s="78" t="inlineStr">
        <is>
          <t>-</t>
        </is>
      </c>
    </row>
    <row r="56" ht="19.55" customHeight="1">
      <c r="A56" s="81" t="n">
        <v>53</v>
      </c>
      <c r="B56" s="76" t="inlineStr">
        <is>
          <t>全国</t>
        </is>
      </c>
      <c r="C56" s="82" t="n">
        <v>46126</v>
      </c>
      <c r="D56" s="76" t="inlineStr">
        <is>
          <t>N6</t>
        </is>
      </c>
      <c r="E56" s="76" t="n">
        <v>1638</v>
      </c>
      <c r="F56" s="76" t="n">
        <v>1481</v>
      </c>
      <c r="G56" s="77" t="n">
        <v>0.9041514041514042</v>
      </c>
      <c r="H56" s="76" t="n">
        <v>503</v>
      </c>
      <c r="I56" s="78" t="n">
        <v>0.3070818070818071</v>
      </c>
      <c r="J56" s="76" t="n">
        <v>2064</v>
      </c>
      <c r="K56" s="76" t="n">
        <v>1969</v>
      </c>
      <c r="L56" s="77" t="n">
        <v>0.954</v>
      </c>
      <c r="M56" s="76" t="n">
        <v>10267</v>
      </c>
      <c r="N56" s="76" t="n">
        <v>10088</v>
      </c>
      <c r="O56" s="76" t="n">
        <v>10063</v>
      </c>
      <c r="P56" s="77" t="n">
        <v>0.9801305152430115</v>
      </c>
      <c r="Q56" s="76" t="n">
        <v>38</v>
      </c>
      <c r="R56" s="76" t="n">
        <v>0</v>
      </c>
      <c r="S56" s="76" t="n">
        <v>0</v>
      </c>
      <c r="T56" s="77" t="n">
        <v>0</v>
      </c>
      <c r="U56" s="76" t="n">
        <v>0</v>
      </c>
      <c r="V56" s="77" t="n">
        <v>0</v>
      </c>
      <c r="W56" s="76" t="n">
        <v>1293</v>
      </c>
      <c r="X56" s="77" t="n">
        <v>0.7893772893772893</v>
      </c>
      <c r="Y56" s="76" t="n">
        <v>656</v>
      </c>
      <c r="Z56" s="79" t="n">
        <v>0.4004884004884005</v>
      </c>
      <c r="AA56" s="76" t="n">
        <v>33</v>
      </c>
      <c r="AB56" s="77" t="n">
        <v>0.02014652014652015</v>
      </c>
      <c r="AC56" s="76" t="n">
        <v>191</v>
      </c>
      <c r="AD56" s="77" t="n">
        <v>0.1166056166056166</v>
      </c>
      <c r="AE56" s="76" t="n">
        <v>24</v>
      </c>
      <c r="AF56" s="77" t="n">
        <v>0.1256544502617801</v>
      </c>
      <c r="AG56" s="76" t="n">
        <v>184</v>
      </c>
      <c r="AH56" s="77" t="n">
        <v>0.9633507853403142</v>
      </c>
      <c r="AI56" s="80" t="n">
        <v>184</v>
      </c>
      <c r="AJ56" s="77" t="n">
        <v>0.1123321123321123</v>
      </c>
      <c r="AK56" s="80" t="n">
        <v>2</v>
      </c>
      <c r="AL56" s="77" t="n">
        <v>0.9293478260869565</v>
      </c>
      <c r="AM56" s="80" t="n">
        <v>184</v>
      </c>
      <c r="AN56" s="80" t="n">
        <v>171</v>
      </c>
      <c r="AO56" s="77" t="n">
        <v>0.1043956043956044</v>
      </c>
      <c r="AP56" s="77" t="n">
        <v>0.8952879581151832</v>
      </c>
      <c r="AQ56" s="78" t="n">
        <v>0.9754601226993865</v>
      </c>
      <c r="AR56" s="80" t="n">
        <v>0</v>
      </c>
      <c r="AS56" s="80" t="n">
        <v>0</v>
      </c>
      <c r="AT56" s="80" t="n">
        <v>48</v>
      </c>
      <c r="AU56" s="80" t="n">
        <v>44</v>
      </c>
      <c r="AV56" s="80" t="n">
        <v>48</v>
      </c>
      <c r="AW56" s="80" t="n">
        <v>56</v>
      </c>
      <c r="AX56" s="77" t="n">
        <v>0.02686202686202686</v>
      </c>
      <c r="AY56" s="77" t="n">
        <v>0.0293040293040293</v>
      </c>
      <c r="AZ56" s="77" t="n">
        <v>0.03418803418803419</v>
      </c>
      <c r="BA56" s="77" t="n">
        <v>0.2807017543859649</v>
      </c>
      <c r="BB56" s="80" t="n">
        <v>0</v>
      </c>
      <c r="BC56" s="80" t="n">
        <v>0</v>
      </c>
      <c r="BD56" s="78" t="n">
        <v>0.9583333333333334</v>
      </c>
      <c r="BE56" s="78" t="n">
        <v>1</v>
      </c>
      <c r="BF56" s="78" t="inlineStr">
        <is>
          <t>-</t>
        </is>
      </c>
    </row>
    <row r="57" ht="19.55" customHeight="1">
      <c r="A57" s="81" t="n">
        <v>54</v>
      </c>
      <c r="B57" s="76" t="inlineStr">
        <is>
          <t>全国</t>
        </is>
      </c>
      <c r="C57" s="82" t="n">
        <v>46126</v>
      </c>
      <c r="D57" s="76" t="inlineStr">
        <is>
          <t>N7</t>
        </is>
      </c>
      <c r="E57" s="76" t="n">
        <v>1987</v>
      </c>
      <c r="F57" s="76" t="n">
        <v>1724</v>
      </c>
      <c r="G57" s="77" t="n">
        <v>0.867639657775541</v>
      </c>
      <c r="H57" s="76" t="n">
        <v>999</v>
      </c>
      <c r="I57" s="78" t="n">
        <v>0.5027679919476598</v>
      </c>
      <c r="J57" s="76" t="n">
        <v>2630</v>
      </c>
      <c r="K57" s="76" t="n">
        <v>2546</v>
      </c>
      <c r="L57" s="77" t="n">
        <v>0.968</v>
      </c>
      <c r="M57" s="76" t="n">
        <v>9802</v>
      </c>
      <c r="N57" s="76" t="n">
        <v>9906</v>
      </c>
      <c r="O57" s="76" t="n">
        <v>9610</v>
      </c>
      <c r="P57" s="77" t="n">
        <v>0.9804121607835136</v>
      </c>
      <c r="Q57" s="76" t="n">
        <v>40</v>
      </c>
      <c r="R57" s="76" t="n">
        <v>0</v>
      </c>
      <c r="S57" s="76" t="n">
        <v>0</v>
      </c>
      <c r="T57" s="77" t="n">
        <v>0</v>
      </c>
      <c r="U57" s="76" t="n">
        <v>0</v>
      </c>
      <c r="V57" s="77" t="n">
        <v>0</v>
      </c>
      <c r="W57" s="76" t="n">
        <v>1213</v>
      </c>
      <c r="X57" s="77" t="n">
        <v>0.6104680422747861</v>
      </c>
      <c r="Y57" s="76" t="n">
        <v>542</v>
      </c>
      <c r="Z57" s="79" t="n">
        <v>0.2727730246602919</v>
      </c>
      <c r="AA57" s="76" t="n">
        <v>15</v>
      </c>
      <c r="AB57" s="77" t="n">
        <v>0.00754906894816306</v>
      </c>
      <c r="AC57" s="76" t="n">
        <v>190</v>
      </c>
      <c r="AD57" s="77" t="n">
        <v>0.09562154001006543</v>
      </c>
      <c r="AE57" s="76" t="n">
        <v>30</v>
      </c>
      <c r="AF57" s="77" t="n">
        <v>0.1578947368421053</v>
      </c>
      <c r="AG57" s="76" t="n">
        <v>167</v>
      </c>
      <c r="AH57" s="77" t="n">
        <v>0.8789473684210526</v>
      </c>
      <c r="AI57" s="80" t="n">
        <v>169</v>
      </c>
      <c r="AJ57" s="77" t="n">
        <v>0.08505284348263714</v>
      </c>
      <c r="AK57" s="80" t="n">
        <v>2</v>
      </c>
      <c r="AL57" s="77" t="n">
        <v>0.8520710059171598</v>
      </c>
      <c r="AM57" s="80" t="n">
        <v>169</v>
      </c>
      <c r="AN57" s="80" t="n">
        <v>144</v>
      </c>
      <c r="AO57" s="77" t="n">
        <v>0.07247106190236538</v>
      </c>
      <c r="AP57" s="77" t="n">
        <v>0.7578947368421053</v>
      </c>
      <c r="AQ57" s="78" t="n">
        <v>0.9760479041916168</v>
      </c>
      <c r="AR57" s="80" t="n">
        <v>0</v>
      </c>
      <c r="AS57" s="80" t="n">
        <v>0</v>
      </c>
      <c r="AT57" s="80" t="n">
        <v>55</v>
      </c>
      <c r="AU57" s="80" t="n">
        <v>45</v>
      </c>
      <c r="AV57" s="80" t="n">
        <v>47</v>
      </c>
      <c r="AW57" s="80" t="n">
        <v>47</v>
      </c>
      <c r="AX57" s="77" t="n">
        <v>0.02264720684448918</v>
      </c>
      <c r="AY57" s="77" t="n">
        <v>0.02365374937091092</v>
      </c>
      <c r="AZ57" s="77" t="n">
        <v>0.02365374937091092</v>
      </c>
      <c r="BA57" s="77" t="n">
        <v>0.3263888888888889</v>
      </c>
      <c r="BB57" s="80" t="n">
        <v>0</v>
      </c>
      <c r="BC57" s="80" t="n">
        <v>0</v>
      </c>
      <c r="BD57" s="78" t="n">
        <v>1</v>
      </c>
      <c r="BE57" s="78" t="n">
        <v>1</v>
      </c>
      <c r="BF57" s="78" t="inlineStr">
        <is>
          <t>-</t>
        </is>
      </c>
    </row>
    <row r="58" ht="19.55" customHeight="1">
      <c r="A58" s="81" t="n">
        <v>55</v>
      </c>
      <c r="B58" s="76" t="inlineStr">
        <is>
          <t>全国</t>
        </is>
      </c>
      <c r="C58" s="82" t="n">
        <v>46126</v>
      </c>
      <c r="D58" s="76" t="inlineStr">
        <is>
          <t>NX8</t>
        </is>
      </c>
      <c r="E58" s="76" t="n">
        <v>7269</v>
      </c>
      <c r="F58" s="76" t="n">
        <v>6450</v>
      </c>
      <c r="G58" s="77" t="n">
        <v>0.8873297565002064</v>
      </c>
      <c r="H58" s="76" t="n">
        <v>3205</v>
      </c>
      <c r="I58" s="78" t="n">
        <v>0.4409134681524281</v>
      </c>
      <c r="J58" s="76" t="n">
        <v>7851</v>
      </c>
      <c r="K58" s="76" t="n">
        <v>7597</v>
      </c>
      <c r="L58" s="77" t="n">
        <v>0.968</v>
      </c>
      <c r="M58" s="76" t="n">
        <v>23299</v>
      </c>
      <c r="N58" s="76" t="n">
        <v>23972</v>
      </c>
      <c r="O58" s="76" t="n">
        <v>22849</v>
      </c>
      <c r="P58" s="77" t="n">
        <v>0.9806858663461951</v>
      </c>
      <c r="Q58" s="76" t="n">
        <v>40</v>
      </c>
      <c r="R58" s="76" t="n">
        <v>0</v>
      </c>
      <c r="S58" s="76" t="n">
        <v>0</v>
      </c>
      <c r="T58" s="77" t="n">
        <v>0</v>
      </c>
      <c r="U58" s="76" t="n">
        <v>0</v>
      </c>
      <c r="V58" s="77" t="n">
        <v>0</v>
      </c>
      <c r="W58" s="76" t="n">
        <v>882</v>
      </c>
      <c r="X58" s="77" t="n">
        <v>0.1213371853074701</v>
      </c>
      <c r="Y58" s="76" t="n">
        <v>1115</v>
      </c>
      <c r="Z58" s="79" t="n">
        <v>0.1533911129453845</v>
      </c>
      <c r="AA58" s="76" t="n">
        <v>0</v>
      </c>
      <c r="AB58" s="77" t="n">
        <v>0</v>
      </c>
      <c r="AC58" s="76" t="n">
        <v>1346</v>
      </c>
      <c r="AD58" s="77" t="n">
        <v>0.1851698995735314</v>
      </c>
      <c r="AE58" s="76" t="n">
        <v>245</v>
      </c>
      <c r="AF58" s="77" t="n">
        <v>0.1820208023774146</v>
      </c>
      <c r="AG58" s="76" t="n">
        <v>1239</v>
      </c>
      <c r="AH58" s="77" t="n">
        <v>0.9205052005943536</v>
      </c>
      <c r="AI58" s="80" t="n">
        <v>1387</v>
      </c>
      <c r="AJ58" s="77" t="n">
        <v>0.1908102902737653</v>
      </c>
      <c r="AK58" s="80" t="n">
        <v>9</v>
      </c>
      <c r="AL58" s="77" t="n">
        <v>0.8406633020908435</v>
      </c>
      <c r="AM58" s="80" t="n">
        <v>1384</v>
      </c>
      <c r="AN58" s="80" t="n">
        <v>1166</v>
      </c>
      <c r="AO58" s="77" t="n">
        <v>0.1604072086944559</v>
      </c>
      <c r="AP58" s="77" t="n">
        <v>0.8662704309063893</v>
      </c>
      <c r="AQ58" s="78" t="n">
        <v>0.9736434108527132</v>
      </c>
      <c r="AR58" s="80" t="n">
        <v>0</v>
      </c>
      <c r="AS58" s="80" t="n">
        <v>0</v>
      </c>
      <c r="AT58" s="80" t="n">
        <v>116</v>
      </c>
      <c r="AU58" s="80" t="n">
        <v>-9</v>
      </c>
      <c r="AV58" s="80" t="n">
        <v>164</v>
      </c>
      <c r="AW58" s="80" t="n">
        <v>25</v>
      </c>
      <c r="AX58" s="77" t="n">
        <v>-0.001238134543953776</v>
      </c>
      <c r="AY58" s="77" t="n">
        <v>0.02256156280093548</v>
      </c>
      <c r="AZ58" s="77" t="n">
        <v>0.003439262622093823</v>
      </c>
      <c r="BA58" s="77" t="n">
        <v>0.1406518010291595</v>
      </c>
      <c r="BB58" s="80" t="n">
        <v>0</v>
      </c>
      <c r="BC58" s="80" t="n">
        <v>0</v>
      </c>
      <c r="BD58" s="78" t="n">
        <v>0.9714285714285714</v>
      </c>
      <c r="BE58" s="78" t="n">
        <v>1</v>
      </c>
      <c r="BF58" s="78" t="inlineStr">
        <is>
          <t>-</t>
        </is>
      </c>
    </row>
    <row r="59" ht="19.55" customHeight="1">
      <c r="A59" s="81" t="n">
        <v>56</v>
      </c>
      <c r="B59" s="76" t="inlineStr">
        <is>
          <t>全国</t>
        </is>
      </c>
      <c r="C59" s="82" t="n">
        <v>46126</v>
      </c>
      <c r="D59" s="76" t="inlineStr">
        <is>
          <t>天籁·鸿蒙座舱</t>
        </is>
      </c>
      <c r="E59" s="76" t="n">
        <v>3028</v>
      </c>
      <c r="F59" s="76" t="n">
        <v>2675</v>
      </c>
      <c r="G59" s="77" t="n">
        <v>0.8834214002642008</v>
      </c>
      <c r="H59" s="76" t="n">
        <v>1923</v>
      </c>
      <c r="I59" s="78" t="n">
        <v>0.6350726552179656</v>
      </c>
      <c r="J59" s="76" t="n">
        <v>3576</v>
      </c>
      <c r="K59" s="76" t="n">
        <v>3480</v>
      </c>
      <c r="L59" s="77" t="n">
        <v>0.973</v>
      </c>
      <c r="M59" s="76" t="n">
        <v>17428</v>
      </c>
      <c r="N59" s="76" t="n">
        <v>17214</v>
      </c>
      <c r="O59" s="76" t="n">
        <v>17135</v>
      </c>
      <c r="P59" s="77" t="n">
        <v>0.9831879733761762</v>
      </c>
      <c r="Q59" s="76" t="n">
        <v>43</v>
      </c>
      <c r="R59" s="76" t="n">
        <v>0</v>
      </c>
      <c r="S59" s="76" t="n">
        <v>0</v>
      </c>
      <c r="T59" s="77" t="n">
        <v>0</v>
      </c>
      <c r="U59" s="76" t="n">
        <v>0</v>
      </c>
      <c r="V59" s="77" t="n">
        <v>0</v>
      </c>
      <c r="W59" s="76" t="n">
        <v>1768</v>
      </c>
      <c r="X59" s="77" t="n">
        <v>0.5838837516512549</v>
      </c>
      <c r="Y59" s="76" t="n">
        <v>607</v>
      </c>
      <c r="Z59" s="79" t="n">
        <v>0.2004623513870541</v>
      </c>
      <c r="AA59" s="76" t="n">
        <v>88</v>
      </c>
      <c r="AB59" s="77" t="n">
        <v>0.02906208718626156</v>
      </c>
      <c r="AC59" s="76" t="n">
        <v>401</v>
      </c>
      <c r="AD59" s="77" t="n">
        <v>0.1324306472919419</v>
      </c>
      <c r="AE59" s="76" t="n">
        <v>53</v>
      </c>
      <c r="AF59" s="77" t="n">
        <v>0.1321695760598504</v>
      </c>
      <c r="AG59" s="76" t="n">
        <v>376</v>
      </c>
      <c r="AH59" s="77" t="n">
        <v>0.9376558603491272</v>
      </c>
      <c r="AI59" s="80" t="n">
        <v>385</v>
      </c>
      <c r="AJ59" s="77" t="n">
        <v>0.1271466314398943</v>
      </c>
      <c r="AK59" s="80" t="n">
        <v>4</v>
      </c>
      <c r="AL59" s="77" t="n">
        <v>0.9376623376623376</v>
      </c>
      <c r="AM59" s="80" t="n">
        <v>384</v>
      </c>
      <c r="AN59" s="80" t="n">
        <v>361</v>
      </c>
      <c r="AO59" s="77" t="n">
        <v>0.119220607661823</v>
      </c>
      <c r="AP59" s="77" t="n">
        <v>0.9002493765586035</v>
      </c>
      <c r="AQ59" s="78" t="n">
        <v>0.953168044077135</v>
      </c>
      <c r="AR59" s="80" t="n">
        <v>0</v>
      </c>
      <c r="AS59" s="80" t="n">
        <v>0</v>
      </c>
      <c r="AT59" s="80" t="n">
        <v>66</v>
      </c>
      <c r="AU59" s="80" t="n">
        <v>60</v>
      </c>
      <c r="AV59" s="80" t="n">
        <v>59</v>
      </c>
      <c r="AW59" s="80" t="n">
        <v>99</v>
      </c>
      <c r="AX59" s="77" t="n">
        <v>0.01981505944517833</v>
      </c>
      <c r="AY59" s="77" t="n">
        <v>0.01948480845442536</v>
      </c>
      <c r="AZ59" s="77" t="n">
        <v>0.03269484808454425</v>
      </c>
      <c r="BA59" s="77" t="n">
        <v>0.1634349030470914</v>
      </c>
      <c r="BB59" s="80" t="n">
        <v>0</v>
      </c>
      <c r="BC59" s="80" t="n">
        <v>0</v>
      </c>
      <c r="BD59" s="78" t="n">
        <v>1</v>
      </c>
      <c r="BE59" s="78" t="n">
        <v>1</v>
      </c>
      <c r="BF59" s="78" t="inlineStr">
        <is>
          <t>-</t>
        </is>
      </c>
    </row>
    <row r="60" ht="19.55" customHeight="1">
      <c r="A60" s="81" t="n">
        <v>57</v>
      </c>
      <c r="B60" s="76" t="inlineStr">
        <is>
          <t>全国</t>
        </is>
      </c>
      <c r="C60" s="82" t="n">
        <v>46127</v>
      </c>
      <c r="D60" s="76" t="inlineStr">
        <is>
          <t>N6</t>
        </is>
      </c>
      <c r="E60" s="76" t="n">
        <v>1463</v>
      </c>
      <c r="F60" s="76" t="n">
        <v>1308</v>
      </c>
      <c r="G60" s="77" t="n">
        <v>0.8940533151059467</v>
      </c>
      <c r="H60" s="76" t="n">
        <v>495</v>
      </c>
      <c r="I60" s="78" t="n">
        <v>0.3383458646616541</v>
      </c>
      <c r="J60" s="76" t="n">
        <v>2146</v>
      </c>
      <c r="K60" s="76" t="n">
        <v>2087</v>
      </c>
      <c r="L60" s="77" t="n">
        <v>0.973</v>
      </c>
      <c r="M60" s="76" t="n">
        <v>10093</v>
      </c>
      <c r="N60" s="76" t="n">
        <v>10112</v>
      </c>
      <c r="O60" s="76" t="n">
        <v>9861</v>
      </c>
      <c r="P60" s="77" t="n">
        <v>0.9770137719211335</v>
      </c>
      <c r="Q60" s="76" t="n">
        <v>21</v>
      </c>
      <c r="R60" s="76" t="n">
        <v>0</v>
      </c>
      <c r="S60" s="76" t="n">
        <v>0</v>
      </c>
      <c r="T60" s="77" t="n">
        <v>0</v>
      </c>
      <c r="U60" s="76" t="n">
        <v>0</v>
      </c>
      <c r="V60" s="77" t="n">
        <v>0</v>
      </c>
      <c r="W60" s="76" t="n">
        <v>1312</v>
      </c>
      <c r="X60" s="77" t="n">
        <v>0.8967874231032126</v>
      </c>
      <c r="Y60" s="76" t="n">
        <v>985</v>
      </c>
      <c r="Z60" s="79" t="n">
        <v>0.6732740943267259</v>
      </c>
      <c r="AA60" s="76" t="n">
        <v>40</v>
      </c>
      <c r="AB60" s="77" t="n">
        <v>0.02734107997265892</v>
      </c>
      <c r="AC60" s="76" t="n">
        <v>190</v>
      </c>
      <c r="AD60" s="77" t="n">
        <v>0.1298701298701299</v>
      </c>
      <c r="AE60" s="76" t="n">
        <v>30</v>
      </c>
      <c r="AF60" s="77" t="n">
        <v>0.1578947368421053</v>
      </c>
      <c r="AG60" s="76" t="n">
        <v>174</v>
      </c>
      <c r="AH60" s="77" t="n">
        <v>0.9157894736842105</v>
      </c>
      <c r="AI60" s="80" t="n">
        <v>176</v>
      </c>
      <c r="AJ60" s="77" t="n">
        <v>0.1203007518796992</v>
      </c>
      <c r="AK60" s="80" t="n">
        <v>0</v>
      </c>
      <c r="AL60" s="77" t="n">
        <v>0.8125</v>
      </c>
      <c r="AM60" s="80" t="n">
        <v>177</v>
      </c>
      <c r="AN60" s="80" t="n">
        <v>143</v>
      </c>
      <c r="AO60" s="77" t="n">
        <v>0.09774436090225563</v>
      </c>
      <c r="AP60" s="77" t="n">
        <v>0.7526315789473684</v>
      </c>
      <c r="AQ60" s="78" t="n">
        <v>0.9580838323353293</v>
      </c>
      <c r="AR60" s="80" t="n">
        <v>0</v>
      </c>
      <c r="AS60" s="80" t="n">
        <v>0</v>
      </c>
      <c r="AT60" s="80" t="n">
        <v>51</v>
      </c>
      <c r="AU60" s="80" t="n">
        <v>47</v>
      </c>
      <c r="AV60" s="80" t="n">
        <v>47</v>
      </c>
      <c r="AW60" s="80" t="n">
        <v>61</v>
      </c>
      <c r="AX60" s="77" t="n">
        <v>0.03212576896787423</v>
      </c>
      <c r="AY60" s="77" t="n">
        <v>0.03212576896787423</v>
      </c>
      <c r="AZ60" s="77" t="n">
        <v>0.04169514695830485</v>
      </c>
      <c r="BA60" s="77" t="n">
        <v>0.3286713286713286</v>
      </c>
      <c r="BB60" s="80" t="n">
        <v>0</v>
      </c>
      <c r="BC60" s="80" t="n">
        <v>0</v>
      </c>
      <c r="BD60" s="78" t="n">
        <v>0.9642857142857143</v>
      </c>
      <c r="BE60" s="78" t="n">
        <v>1</v>
      </c>
      <c r="BF60" s="78" t="inlineStr">
        <is>
          <t>-</t>
        </is>
      </c>
    </row>
    <row r="61" ht="19.55" customHeight="1">
      <c r="A61" s="81" t="n">
        <v>58</v>
      </c>
      <c r="B61" s="76" t="inlineStr">
        <is>
          <t>全国</t>
        </is>
      </c>
      <c r="C61" s="82" t="n">
        <v>46127</v>
      </c>
      <c r="D61" s="76" t="inlineStr">
        <is>
          <t>N7</t>
        </is>
      </c>
      <c r="E61" s="76" t="n">
        <v>2324</v>
      </c>
      <c r="F61" s="76" t="n">
        <v>2073</v>
      </c>
      <c r="G61" s="77" t="n">
        <v>0.8919965576592083</v>
      </c>
      <c r="H61" s="76" t="n">
        <v>1264</v>
      </c>
      <c r="I61" s="78" t="n">
        <v>0.5438898450946644</v>
      </c>
      <c r="J61" s="76" t="n">
        <v>2013</v>
      </c>
      <c r="K61" s="76" t="n">
        <v>1939</v>
      </c>
      <c r="L61" s="77" t="n">
        <v>0.963</v>
      </c>
      <c r="M61" s="76" t="n">
        <v>9623</v>
      </c>
      <c r="N61" s="76" t="n">
        <v>9564</v>
      </c>
      <c r="O61" s="76" t="n">
        <v>9419</v>
      </c>
      <c r="P61" s="77" t="n">
        <v>0.9788007897744986</v>
      </c>
      <c r="Q61" s="76" t="n">
        <v>26</v>
      </c>
      <c r="R61" s="76" t="n">
        <v>0</v>
      </c>
      <c r="S61" s="76" t="n">
        <v>0</v>
      </c>
      <c r="T61" s="77" t="n">
        <v>0</v>
      </c>
      <c r="U61" s="76" t="n">
        <v>0</v>
      </c>
      <c r="V61" s="77" t="n">
        <v>0</v>
      </c>
      <c r="W61" s="76" t="n">
        <v>1266</v>
      </c>
      <c r="X61" s="77" t="n">
        <v>0.544750430292599</v>
      </c>
      <c r="Y61" s="76" t="n">
        <v>855</v>
      </c>
      <c r="Z61" s="79" t="n">
        <v>0.3679001721170396</v>
      </c>
      <c r="AA61" s="76" t="n">
        <v>26</v>
      </c>
      <c r="AB61" s="77" t="n">
        <v>0.01118760757314974</v>
      </c>
      <c r="AC61" s="76" t="n">
        <v>220</v>
      </c>
      <c r="AD61" s="77" t="n">
        <v>0.09466437177280551</v>
      </c>
      <c r="AE61" s="76" t="n">
        <v>38</v>
      </c>
      <c r="AF61" s="77" t="n">
        <v>0.1727272727272727</v>
      </c>
      <c r="AG61" s="76" t="n">
        <v>198</v>
      </c>
      <c r="AH61" s="77" t="n">
        <v>0.9</v>
      </c>
      <c r="AI61" s="80" t="n">
        <v>201</v>
      </c>
      <c r="AJ61" s="77" t="n">
        <v>0.08648881239242685</v>
      </c>
      <c r="AK61" s="80" t="n">
        <v>0</v>
      </c>
      <c r="AL61" s="77" t="n">
        <v>0.8656716417910447</v>
      </c>
      <c r="AM61" s="80" t="n">
        <v>201</v>
      </c>
      <c r="AN61" s="80" t="n">
        <v>174</v>
      </c>
      <c r="AO61" s="77" t="n">
        <v>0.07487091222030981</v>
      </c>
      <c r="AP61" s="77" t="n">
        <v>0.7909090909090909</v>
      </c>
      <c r="AQ61" s="78" t="n">
        <v>0.9375</v>
      </c>
      <c r="AR61" s="80" t="n">
        <v>0</v>
      </c>
      <c r="AS61" s="80" t="n">
        <v>0</v>
      </c>
      <c r="AT61" s="80" t="n">
        <v>47</v>
      </c>
      <c r="AU61" s="80" t="n">
        <v>39</v>
      </c>
      <c r="AV61" s="80" t="n">
        <v>37</v>
      </c>
      <c r="AW61" s="80" t="n">
        <v>65</v>
      </c>
      <c r="AX61" s="77" t="n">
        <v>0.01678141135972461</v>
      </c>
      <c r="AY61" s="77" t="n">
        <v>0.01592082616179002</v>
      </c>
      <c r="AZ61" s="77" t="n">
        <v>0.02796901893287436</v>
      </c>
      <c r="BA61" s="77" t="n">
        <v>0.2126436781609195</v>
      </c>
      <c r="BB61" s="80" t="n">
        <v>0</v>
      </c>
      <c r="BC61" s="80" t="n">
        <v>0</v>
      </c>
      <c r="BD61" s="78" t="n">
        <v>1</v>
      </c>
      <c r="BE61" s="78" t="n">
        <v>1</v>
      </c>
      <c r="BF61" s="78" t="inlineStr">
        <is>
          <t>-</t>
        </is>
      </c>
    </row>
    <row r="62" ht="19.55" customHeight="1">
      <c r="A62" s="81" t="n">
        <v>59</v>
      </c>
      <c r="B62" s="76" t="inlineStr">
        <is>
          <t>全国</t>
        </is>
      </c>
      <c r="C62" s="82" t="n">
        <v>46127</v>
      </c>
      <c r="D62" s="76" t="inlineStr">
        <is>
          <t>NX8</t>
        </is>
      </c>
      <c r="E62" s="76" t="n">
        <v>8853</v>
      </c>
      <c r="F62" s="76" t="n">
        <v>7820</v>
      </c>
      <c r="G62" s="77" t="n">
        <v>0.8833163899243195</v>
      </c>
      <c r="H62" s="76" t="n">
        <v>3231</v>
      </c>
      <c r="I62" s="78" t="n">
        <v>0.3649610301592681</v>
      </c>
      <c r="J62" s="76" t="n">
        <v>8198</v>
      </c>
      <c r="K62" s="76" t="n">
        <v>7981</v>
      </c>
      <c r="L62" s="77" t="n">
        <v>0.974</v>
      </c>
      <c r="M62" s="76" t="n">
        <v>26511</v>
      </c>
      <c r="N62" s="76" t="n">
        <v>26903</v>
      </c>
      <c r="O62" s="76" t="n">
        <v>26087</v>
      </c>
      <c r="P62" s="77" t="n">
        <v>0.9840066387537248</v>
      </c>
      <c r="Q62" s="76" t="n">
        <v>36</v>
      </c>
      <c r="R62" s="76" t="n">
        <v>0</v>
      </c>
      <c r="S62" s="76" t="n">
        <v>0</v>
      </c>
      <c r="T62" s="77" t="n">
        <v>0</v>
      </c>
      <c r="U62" s="76" t="n">
        <v>0</v>
      </c>
      <c r="V62" s="77" t="n">
        <v>0</v>
      </c>
      <c r="W62" s="76" t="n">
        <v>857</v>
      </c>
      <c r="X62" s="77" t="n">
        <v>0.09680334349937875</v>
      </c>
      <c r="Y62" s="76" t="n">
        <v>1045</v>
      </c>
      <c r="Z62" s="79" t="n">
        <v>0.1180390827967921</v>
      </c>
      <c r="AA62" s="76" t="n">
        <v>0</v>
      </c>
      <c r="AB62" s="77" t="n">
        <v>0</v>
      </c>
      <c r="AC62" s="76" t="n">
        <v>1460</v>
      </c>
      <c r="AD62" s="77" t="n">
        <v>0.164915847735231</v>
      </c>
      <c r="AE62" s="76" t="n">
        <v>278</v>
      </c>
      <c r="AF62" s="77" t="n">
        <v>0.1904109589041096</v>
      </c>
      <c r="AG62" s="76" t="n">
        <v>1338</v>
      </c>
      <c r="AH62" s="77" t="n">
        <v>0.9164383561643835</v>
      </c>
      <c r="AI62" s="80" t="n">
        <v>1504</v>
      </c>
      <c r="AJ62" s="77" t="n">
        <v>0.1698859143793064</v>
      </c>
      <c r="AK62" s="80" t="n">
        <v>6</v>
      </c>
      <c r="AL62" s="77" t="n">
        <v>0.8730053191489362</v>
      </c>
      <c r="AM62" s="80" t="n">
        <v>1502</v>
      </c>
      <c r="AN62" s="80" t="n">
        <v>1313</v>
      </c>
      <c r="AO62" s="77" t="n">
        <v>0.1483113069016153</v>
      </c>
      <c r="AP62" s="77" t="n">
        <v>0.8993150684931507</v>
      </c>
      <c r="AQ62" s="78" t="n">
        <v>0.9762435040831478</v>
      </c>
      <c r="AR62" s="80" t="n">
        <v>0</v>
      </c>
      <c r="AS62" s="80" t="n">
        <v>0</v>
      </c>
      <c r="AT62" s="80" t="n">
        <v>108</v>
      </c>
      <c r="AU62" s="80" t="n">
        <v>1</v>
      </c>
      <c r="AV62" s="80" t="n">
        <v>212</v>
      </c>
      <c r="AW62" s="80" t="n">
        <v>29</v>
      </c>
      <c r="AX62" s="77" t="n">
        <v>0.000112956060092624</v>
      </c>
      <c r="AY62" s="77" t="n">
        <v>0.02394668473963628</v>
      </c>
      <c r="AZ62" s="77" t="n">
        <v>0.003275725742686095</v>
      </c>
      <c r="BA62" s="77" t="n">
        <v>0.1614623000761615</v>
      </c>
      <c r="BB62" s="80" t="n">
        <v>0</v>
      </c>
      <c r="BC62" s="80" t="n">
        <v>1</v>
      </c>
      <c r="BD62" s="78" t="n">
        <v>0.9838056680161943</v>
      </c>
      <c r="BE62" s="78" t="n">
        <v>0.972972972972973</v>
      </c>
      <c r="BF62" s="78" t="inlineStr">
        <is>
          <t>-</t>
        </is>
      </c>
    </row>
    <row r="63" ht="19.55" customHeight="1">
      <c r="A63" s="81" t="n">
        <v>60</v>
      </c>
      <c r="B63" s="76" t="inlineStr">
        <is>
          <t>全国</t>
        </is>
      </c>
      <c r="C63" s="82" t="n">
        <v>46127</v>
      </c>
      <c r="D63" s="76" t="inlineStr">
        <is>
          <t>天籁·鸿蒙座舱</t>
        </is>
      </c>
      <c r="E63" s="76" t="n">
        <v>3008</v>
      </c>
      <c r="F63" s="76" t="n">
        <v>2732</v>
      </c>
      <c r="G63" s="77" t="n">
        <v>0.9082446808510638</v>
      </c>
      <c r="H63" s="76" t="n">
        <v>1632</v>
      </c>
      <c r="I63" s="78" t="n">
        <v>0.5425531914893617</v>
      </c>
      <c r="J63" s="76" t="n">
        <v>4060</v>
      </c>
      <c r="K63" s="76" t="n">
        <v>3962</v>
      </c>
      <c r="L63" s="77" t="n">
        <v>0.976</v>
      </c>
      <c r="M63" s="76" t="n">
        <v>17314</v>
      </c>
      <c r="N63" s="76" t="n">
        <v>17320</v>
      </c>
      <c r="O63" s="76" t="n">
        <v>17061</v>
      </c>
      <c r="P63" s="77" t="n">
        <v>0.9853875476493011</v>
      </c>
      <c r="Q63" s="76" t="n">
        <v>27</v>
      </c>
      <c r="R63" s="76" t="n">
        <v>0</v>
      </c>
      <c r="S63" s="76" t="n">
        <v>0</v>
      </c>
      <c r="T63" s="77" t="n">
        <v>0</v>
      </c>
      <c r="U63" s="76" t="n">
        <v>0</v>
      </c>
      <c r="V63" s="77" t="n">
        <v>0</v>
      </c>
      <c r="W63" s="76" t="n">
        <v>1888</v>
      </c>
      <c r="X63" s="77" t="n">
        <v>0.6276595744680851</v>
      </c>
      <c r="Y63" s="76" t="n">
        <v>1221</v>
      </c>
      <c r="Z63" s="79" t="n">
        <v>0.4059175531914894</v>
      </c>
      <c r="AA63" s="76" t="n">
        <v>107</v>
      </c>
      <c r="AB63" s="77" t="n">
        <v>0.0355718085106383</v>
      </c>
      <c r="AC63" s="76" t="n">
        <v>412</v>
      </c>
      <c r="AD63" s="77" t="n">
        <v>0.136968085106383</v>
      </c>
      <c r="AE63" s="76" t="n">
        <v>62</v>
      </c>
      <c r="AF63" s="77" t="n">
        <v>0.1504854368932039</v>
      </c>
      <c r="AG63" s="76" t="n">
        <v>383</v>
      </c>
      <c r="AH63" s="77" t="n">
        <v>0.9296116504854369</v>
      </c>
      <c r="AI63" s="80" t="n">
        <v>412</v>
      </c>
      <c r="AJ63" s="77" t="n">
        <v>0.136968085106383</v>
      </c>
      <c r="AK63" s="80" t="n">
        <v>2</v>
      </c>
      <c r="AL63" s="77" t="n">
        <v>0.9223300970873787</v>
      </c>
      <c r="AM63" s="80" t="n">
        <v>411</v>
      </c>
      <c r="AN63" s="80" t="n">
        <v>380</v>
      </c>
      <c r="AO63" s="77" t="n">
        <v>0.1263297872340426</v>
      </c>
      <c r="AP63" s="77" t="n">
        <v>0.9223300970873787</v>
      </c>
      <c r="AQ63" s="78" t="n">
        <v>0.9733333333333334</v>
      </c>
      <c r="AR63" s="80" t="n">
        <v>0</v>
      </c>
      <c r="AS63" s="80" t="n">
        <v>0</v>
      </c>
      <c r="AT63" s="80" t="n">
        <v>70</v>
      </c>
      <c r="AU63" s="80" t="n">
        <v>64</v>
      </c>
      <c r="AV63" s="80" t="n">
        <v>63</v>
      </c>
      <c r="AW63" s="80" t="n">
        <v>99</v>
      </c>
      <c r="AX63" s="77" t="n">
        <v>0.02127659574468085</v>
      </c>
      <c r="AY63" s="77" t="n">
        <v>0.02094414893617021</v>
      </c>
      <c r="AZ63" s="77" t="n">
        <v>0.03291223404255319</v>
      </c>
      <c r="BA63" s="77" t="n">
        <v>0.1657894736842105</v>
      </c>
      <c r="BB63" s="80" t="n">
        <v>0</v>
      </c>
      <c r="BC63" s="80" t="n">
        <v>0</v>
      </c>
      <c r="BD63" s="78" t="n">
        <v>0.9399999999999999</v>
      </c>
      <c r="BE63" s="78" t="n">
        <v>1</v>
      </c>
      <c r="BF63" s="78" t="inlineStr">
        <is>
          <t>-</t>
        </is>
      </c>
    </row>
    <row r="64" ht="19.55" customHeight="1">
      <c r="A64" s="81" t="n">
        <v>61</v>
      </c>
      <c r="B64" s="76" t="inlineStr">
        <is>
          <t>全国</t>
        </is>
      </c>
      <c r="C64" s="82" t="n">
        <v>46128</v>
      </c>
      <c r="D64" s="76" t="inlineStr">
        <is>
          <t>N6</t>
        </is>
      </c>
      <c r="E64" s="76" t="n">
        <v>1758</v>
      </c>
      <c r="F64" s="76" t="n">
        <v>1541</v>
      </c>
      <c r="G64" s="77" t="n">
        <v>0.8765642775881684</v>
      </c>
      <c r="H64" s="76" t="n">
        <v>783</v>
      </c>
      <c r="I64" s="78" t="n">
        <v>0.4453924914675768</v>
      </c>
      <c r="J64" s="76" t="n">
        <v>2732</v>
      </c>
      <c r="K64" s="76" t="n">
        <v>2643</v>
      </c>
      <c r="L64" s="77" t="n">
        <v>0.967</v>
      </c>
      <c r="M64" s="76" t="n">
        <v>10299</v>
      </c>
      <c r="N64" s="76" t="n">
        <v>10380</v>
      </c>
      <c r="O64" s="76" t="n">
        <v>10121</v>
      </c>
      <c r="P64" s="77" t="n">
        <v>0.9827167686183125</v>
      </c>
      <c r="Q64" s="76" t="n">
        <v>28</v>
      </c>
      <c r="R64" s="76" t="n">
        <v>0</v>
      </c>
      <c r="S64" s="76" t="n">
        <v>0</v>
      </c>
      <c r="T64" s="77" t="n">
        <v>0</v>
      </c>
      <c r="U64" s="76" t="n">
        <v>0</v>
      </c>
      <c r="V64" s="77" t="n">
        <v>0</v>
      </c>
      <c r="W64" s="76" t="n">
        <v>2114</v>
      </c>
      <c r="X64" s="77" t="n">
        <v>1.202502844141069</v>
      </c>
      <c r="Y64" s="76" t="n">
        <v>631</v>
      </c>
      <c r="Z64" s="79" t="n">
        <v>0.3589306029579067</v>
      </c>
      <c r="AA64" s="76" t="n">
        <v>39</v>
      </c>
      <c r="AB64" s="77" t="n">
        <v>0.02218430034129693</v>
      </c>
      <c r="AC64" s="76" t="n">
        <v>206</v>
      </c>
      <c r="AD64" s="77" t="n">
        <v>0.1171786120591581</v>
      </c>
      <c r="AE64" s="76" t="n">
        <v>25</v>
      </c>
      <c r="AF64" s="77" t="n">
        <v>0.1213592233009709</v>
      </c>
      <c r="AG64" s="76" t="n">
        <v>188</v>
      </c>
      <c r="AH64" s="77" t="n">
        <v>0.912621359223301</v>
      </c>
      <c r="AI64" s="80" t="n">
        <v>196</v>
      </c>
      <c r="AJ64" s="77" t="n">
        <v>0.111490329920364</v>
      </c>
      <c r="AK64" s="80" t="n">
        <v>0</v>
      </c>
      <c r="AL64" s="77" t="n">
        <v>0.8316326530612245</v>
      </c>
      <c r="AM64" s="80" t="n">
        <v>195</v>
      </c>
      <c r="AN64" s="80" t="n">
        <v>163</v>
      </c>
      <c r="AO64" s="77" t="n">
        <v>0.09271899886234357</v>
      </c>
      <c r="AP64" s="77" t="n">
        <v>0.7912621359223301</v>
      </c>
      <c r="AQ64" s="78" t="n">
        <v>0.9698795180722891</v>
      </c>
      <c r="AR64" s="80" t="n">
        <v>0</v>
      </c>
      <c r="AS64" s="80" t="n">
        <v>0</v>
      </c>
      <c r="AT64" s="80" t="n">
        <v>60</v>
      </c>
      <c r="AU64" s="80" t="n">
        <v>56</v>
      </c>
      <c r="AV64" s="80" t="n">
        <v>56</v>
      </c>
      <c r="AW64" s="80" t="n">
        <v>51</v>
      </c>
      <c r="AX64" s="77" t="n">
        <v>0.03185437997724687</v>
      </c>
      <c r="AY64" s="77" t="n">
        <v>0.03185437997724687</v>
      </c>
      <c r="AZ64" s="77" t="n">
        <v>0.02901023890784983</v>
      </c>
      <c r="BA64" s="77" t="n">
        <v>0.343558282208589</v>
      </c>
      <c r="BB64" s="80" t="n">
        <v>0</v>
      </c>
      <c r="BC64" s="80" t="n">
        <v>0</v>
      </c>
      <c r="BD64" s="78" t="n">
        <v>1</v>
      </c>
      <c r="BE64" s="78" t="n">
        <v>1</v>
      </c>
      <c r="BF64" s="78" t="inlineStr">
        <is>
          <t>-</t>
        </is>
      </c>
    </row>
    <row r="65" ht="19.55" customHeight="1">
      <c r="A65" s="81" t="n">
        <v>62</v>
      </c>
      <c r="B65" s="76" t="inlineStr">
        <is>
          <t>全国</t>
        </is>
      </c>
      <c r="C65" s="82" t="n">
        <v>46128</v>
      </c>
      <c r="D65" s="76" t="inlineStr">
        <is>
          <t>N7</t>
        </is>
      </c>
      <c r="E65" s="76" t="n">
        <v>2145</v>
      </c>
      <c r="F65" s="76" t="n">
        <v>1853</v>
      </c>
      <c r="G65" s="77" t="n">
        <v>0.8638694638694638</v>
      </c>
      <c r="H65" s="76" t="n">
        <v>1133</v>
      </c>
      <c r="I65" s="78" t="n">
        <v>0.5282051282051282</v>
      </c>
      <c r="J65" s="76" t="n">
        <v>3098</v>
      </c>
      <c r="K65" s="76" t="n">
        <v>3013</v>
      </c>
      <c r="L65" s="77" t="n">
        <v>0.973</v>
      </c>
      <c r="M65" s="76" t="n">
        <v>10711</v>
      </c>
      <c r="N65" s="76" t="n">
        <v>10853</v>
      </c>
      <c r="O65" s="76" t="n">
        <v>10543</v>
      </c>
      <c r="P65" s="77" t="n">
        <v>0.9843151899915974</v>
      </c>
      <c r="Q65" s="76" t="n">
        <v>39</v>
      </c>
      <c r="R65" s="76" t="n">
        <v>0</v>
      </c>
      <c r="S65" s="76" t="n">
        <v>0</v>
      </c>
      <c r="T65" s="77" t="n">
        <v>0</v>
      </c>
      <c r="U65" s="76" t="n">
        <v>0</v>
      </c>
      <c r="V65" s="77" t="n">
        <v>0</v>
      </c>
      <c r="W65" s="76" t="n">
        <v>2092</v>
      </c>
      <c r="X65" s="77" t="n">
        <v>0.9752913752913753</v>
      </c>
      <c r="Y65" s="76" t="n">
        <v>706</v>
      </c>
      <c r="Z65" s="79" t="n">
        <v>0.3291375291375291</v>
      </c>
      <c r="AA65" s="76" t="n">
        <v>21</v>
      </c>
      <c r="AB65" s="77" t="n">
        <v>0.009790209790209791</v>
      </c>
      <c r="AC65" s="76" t="n">
        <v>223</v>
      </c>
      <c r="AD65" s="77" t="n">
        <v>0.103962703962704</v>
      </c>
      <c r="AE65" s="76" t="n">
        <v>26</v>
      </c>
      <c r="AF65" s="77" t="n">
        <v>0.1165919282511211</v>
      </c>
      <c r="AG65" s="76" t="n">
        <v>202</v>
      </c>
      <c r="AH65" s="77" t="n">
        <v>0.905829596412556</v>
      </c>
      <c r="AI65" s="80" t="n">
        <v>205</v>
      </c>
      <c r="AJ65" s="77" t="n">
        <v>0.09557109557109557</v>
      </c>
      <c r="AK65" s="80" t="n">
        <v>0</v>
      </c>
      <c r="AL65" s="77" t="n">
        <v>0.8780487804878049</v>
      </c>
      <c r="AM65" s="80" t="n">
        <v>206</v>
      </c>
      <c r="AN65" s="80" t="n">
        <v>180</v>
      </c>
      <c r="AO65" s="77" t="n">
        <v>0.08391608391608392</v>
      </c>
      <c r="AP65" s="77" t="n">
        <v>0.8071748878923767</v>
      </c>
      <c r="AQ65" s="78" t="n">
        <v>0.9798994974874372</v>
      </c>
      <c r="AR65" s="80" t="n">
        <v>0</v>
      </c>
      <c r="AS65" s="80" t="n">
        <v>0</v>
      </c>
      <c r="AT65" s="80" t="n">
        <v>40</v>
      </c>
      <c r="AU65" s="80" t="n">
        <v>32</v>
      </c>
      <c r="AV65" s="80" t="n">
        <v>33</v>
      </c>
      <c r="AW65" s="80" t="n">
        <v>61</v>
      </c>
      <c r="AX65" s="77" t="n">
        <v>0.01491841491841492</v>
      </c>
      <c r="AY65" s="77" t="n">
        <v>0.01538461538461539</v>
      </c>
      <c r="AZ65" s="77" t="n">
        <v>0.02843822843822844</v>
      </c>
      <c r="BA65" s="77" t="n">
        <v>0.1833333333333333</v>
      </c>
      <c r="BB65" s="80" t="n">
        <v>0</v>
      </c>
      <c r="BC65" s="80" t="n">
        <v>0</v>
      </c>
      <c r="BD65" s="78" t="n">
        <v>1</v>
      </c>
      <c r="BE65" s="78" t="n">
        <v>1</v>
      </c>
      <c r="BF65" s="78" t="inlineStr">
        <is>
          <t>-</t>
        </is>
      </c>
    </row>
    <row r="66" ht="19.55" customHeight="1">
      <c r="A66" s="81" t="n">
        <v>63</v>
      </c>
      <c r="B66" s="76" t="inlineStr">
        <is>
          <t>全国</t>
        </is>
      </c>
      <c r="C66" s="82" t="n">
        <v>46128</v>
      </c>
      <c r="D66" s="76" t="inlineStr">
        <is>
          <t>NX8</t>
        </is>
      </c>
      <c r="E66" s="76" t="n">
        <v>7584</v>
      </c>
      <c r="F66" s="76" t="n">
        <v>6799</v>
      </c>
      <c r="G66" s="77" t="n">
        <v>0.8964926160337553</v>
      </c>
      <c r="H66" s="76" t="n">
        <v>2946</v>
      </c>
      <c r="I66" s="78" t="n">
        <v>0.3884493670886076</v>
      </c>
      <c r="J66" s="76" t="n">
        <v>8848</v>
      </c>
      <c r="K66" s="76" t="n">
        <v>8608</v>
      </c>
      <c r="L66" s="77" t="n">
        <v>0.973</v>
      </c>
      <c r="M66" s="76" t="n">
        <v>27137</v>
      </c>
      <c r="N66" s="76" t="n">
        <v>27178</v>
      </c>
      <c r="O66" s="76" t="n">
        <v>26692</v>
      </c>
      <c r="P66" s="77" t="n">
        <v>0.9836017245826731</v>
      </c>
      <c r="Q66" s="76" t="n">
        <v>42</v>
      </c>
      <c r="R66" s="76" t="n">
        <v>0</v>
      </c>
      <c r="S66" s="76" t="n">
        <v>0</v>
      </c>
      <c r="T66" s="77" t="n">
        <v>0</v>
      </c>
      <c r="U66" s="76" t="n">
        <v>0</v>
      </c>
      <c r="V66" s="77" t="n">
        <v>0</v>
      </c>
      <c r="W66" s="76" t="n">
        <v>1045</v>
      </c>
      <c r="X66" s="77" t="n">
        <v>0.1377900843881857</v>
      </c>
      <c r="Y66" s="76" t="n">
        <v>1376</v>
      </c>
      <c r="Z66" s="79" t="n">
        <v>0.1814345991561181</v>
      </c>
      <c r="AA66" s="76" t="n">
        <v>0</v>
      </c>
      <c r="AB66" s="77" t="n">
        <v>0</v>
      </c>
      <c r="AC66" s="76" t="n">
        <v>1404</v>
      </c>
      <c r="AD66" s="77" t="n">
        <v>0.185126582278481</v>
      </c>
      <c r="AE66" s="76" t="n">
        <v>264</v>
      </c>
      <c r="AF66" s="77" t="n">
        <v>0.188034188034188</v>
      </c>
      <c r="AG66" s="76" t="n">
        <v>1282</v>
      </c>
      <c r="AH66" s="77" t="n">
        <v>0.9131054131054132</v>
      </c>
      <c r="AI66" s="80" t="n">
        <v>1464</v>
      </c>
      <c r="AJ66" s="77" t="n">
        <v>0.1930379746835443</v>
      </c>
      <c r="AK66" s="80" t="n">
        <v>10</v>
      </c>
      <c r="AL66" s="77" t="n">
        <v>0.921448087431694</v>
      </c>
      <c r="AM66" s="80" t="n">
        <v>1461</v>
      </c>
      <c r="AN66" s="80" t="n">
        <v>1349</v>
      </c>
      <c r="AO66" s="77" t="n">
        <v>0.1778744725738397</v>
      </c>
      <c r="AP66" s="77" t="n">
        <v>0.9608262108262108</v>
      </c>
      <c r="AQ66" s="78" t="n">
        <v>0.9730639730639731</v>
      </c>
      <c r="AR66" s="80" t="n">
        <v>0</v>
      </c>
      <c r="AS66" s="80" t="n">
        <v>0</v>
      </c>
      <c r="AT66" s="80" t="n">
        <v>124</v>
      </c>
      <c r="AU66" s="80" t="n">
        <v>115</v>
      </c>
      <c r="AV66" s="80" t="n">
        <v>110</v>
      </c>
      <c r="AW66" s="80" t="n">
        <v>34</v>
      </c>
      <c r="AX66" s="77" t="n">
        <v>0.01516350210970464</v>
      </c>
      <c r="AY66" s="77" t="n">
        <v>0.0145042194092827</v>
      </c>
      <c r="AZ66" s="77" t="n">
        <v>0.004483122362869198</v>
      </c>
      <c r="BA66" s="77" t="n">
        <v>0.08154188287620459</v>
      </c>
      <c r="BB66" s="80" t="n">
        <v>0</v>
      </c>
      <c r="BC66" s="80" t="n">
        <v>2</v>
      </c>
      <c r="BD66" s="78" t="n">
        <v>0.9859154929577465</v>
      </c>
      <c r="BE66" s="78" t="n">
        <v>0.9444444444444444</v>
      </c>
      <c r="BF66" s="78" t="inlineStr">
        <is>
          <t>-</t>
        </is>
      </c>
    </row>
    <row r="67" ht="19.55" customHeight="1">
      <c r="A67" s="81" t="n">
        <v>64</v>
      </c>
      <c r="B67" s="76" t="inlineStr">
        <is>
          <t>全国</t>
        </is>
      </c>
      <c r="C67" s="82" t="n">
        <v>46128</v>
      </c>
      <c r="D67" s="76" t="inlineStr">
        <is>
          <t>天籁·鸿蒙座舱</t>
        </is>
      </c>
      <c r="E67" s="76" t="n">
        <v>2892</v>
      </c>
      <c r="F67" s="76" t="n">
        <v>2621</v>
      </c>
      <c r="G67" s="77" t="n">
        <v>0.9062932226832642</v>
      </c>
      <c r="H67" s="76" t="n">
        <v>1540</v>
      </c>
      <c r="I67" s="78" t="n">
        <v>0.5325034578146611</v>
      </c>
      <c r="J67" s="76" t="n">
        <v>3409</v>
      </c>
      <c r="K67" s="76" t="n">
        <v>3303</v>
      </c>
      <c r="L67" s="77" t="n">
        <v>0.969</v>
      </c>
      <c r="M67" s="76" t="n">
        <v>16452</v>
      </c>
      <c r="N67" s="76" t="n">
        <v>16469</v>
      </c>
      <c r="O67" s="76" t="n">
        <v>16206</v>
      </c>
      <c r="P67" s="77" t="n">
        <v>0.9850474106491612</v>
      </c>
      <c r="Q67" s="76" t="n">
        <v>38</v>
      </c>
      <c r="R67" s="76" t="n">
        <v>0</v>
      </c>
      <c r="S67" s="76" t="n">
        <v>0</v>
      </c>
      <c r="T67" s="77" t="n">
        <v>0</v>
      </c>
      <c r="U67" s="76" t="n">
        <v>0</v>
      </c>
      <c r="V67" s="77" t="n">
        <v>0</v>
      </c>
      <c r="W67" s="76" t="n">
        <v>3184</v>
      </c>
      <c r="X67" s="77" t="n">
        <v>1.100968188105118</v>
      </c>
      <c r="Y67" s="76" t="n">
        <v>701</v>
      </c>
      <c r="Z67" s="79" t="n">
        <v>0.2423928077455048</v>
      </c>
      <c r="AA67" s="76" t="n">
        <v>94</v>
      </c>
      <c r="AB67" s="77" t="n">
        <v>0.03250345781466114</v>
      </c>
      <c r="AC67" s="76" t="n">
        <v>415</v>
      </c>
      <c r="AD67" s="77" t="n">
        <v>0.1434993084370678</v>
      </c>
      <c r="AE67" s="76" t="n">
        <v>56</v>
      </c>
      <c r="AF67" s="77" t="n">
        <v>0.1349397590361446</v>
      </c>
      <c r="AG67" s="76" t="n">
        <v>379</v>
      </c>
      <c r="AH67" s="77" t="n">
        <v>0.9132530120481928</v>
      </c>
      <c r="AI67" s="80" t="n">
        <v>424</v>
      </c>
      <c r="AJ67" s="77" t="n">
        <v>0.1466113416320885</v>
      </c>
      <c r="AK67" s="80" t="n">
        <v>1</v>
      </c>
      <c r="AL67" s="77" t="n">
        <v>0.9316037735849056</v>
      </c>
      <c r="AM67" s="80" t="n">
        <v>425</v>
      </c>
      <c r="AN67" s="80" t="n">
        <v>395</v>
      </c>
      <c r="AO67" s="77" t="n">
        <v>0.1365836791147994</v>
      </c>
      <c r="AP67" s="77" t="n">
        <v>0.9518072289156626</v>
      </c>
      <c r="AQ67" s="78" t="n">
        <v>0.9626865671641791</v>
      </c>
      <c r="AR67" s="80" t="n">
        <v>0</v>
      </c>
      <c r="AS67" s="80" t="n">
        <v>0</v>
      </c>
      <c r="AT67" s="80" t="n">
        <v>59</v>
      </c>
      <c r="AU67" s="80" t="n">
        <v>50</v>
      </c>
      <c r="AV67" s="80" t="n">
        <v>48</v>
      </c>
      <c r="AW67" s="80" t="n">
        <v>91</v>
      </c>
      <c r="AX67" s="77" t="n">
        <v>0.01728907330567082</v>
      </c>
      <c r="AY67" s="77" t="n">
        <v>0.01659751037344398</v>
      </c>
      <c r="AZ67" s="77" t="n">
        <v>0.03146611341632088</v>
      </c>
      <c r="BA67" s="77" t="n">
        <v>0.1215189873417721</v>
      </c>
      <c r="BB67" s="80" t="n">
        <v>0</v>
      </c>
      <c r="BC67" s="80" t="n">
        <v>0</v>
      </c>
      <c r="BD67" s="78" t="n">
        <v>0.9615384615384616</v>
      </c>
      <c r="BE67" s="78" t="n">
        <v>1</v>
      </c>
      <c r="BF67" s="78" t="inlineStr">
        <is>
          <t>-</t>
        </is>
      </c>
    </row>
    <row r="68" ht="19.55" customHeight="1">
      <c r="A68" s="81" t="n">
        <v>65</v>
      </c>
      <c r="B68" s="76" t="inlineStr">
        <is>
          <t>全国</t>
        </is>
      </c>
      <c r="C68" s="82" t="n">
        <v>46129</v>
      </c>
      <c r="D68" s="76" t="inlineStr">
        <is>
          <t>N6</t>
        </is>
      </c>
      <c r="E68" s="76" t="n">
        <v>1679</v>
      </c>
      <c r="F68" s="76" t="n">
        <v>1457</v>
      </c>
      <c r="G68" s="77" t="n">
        <v>0.8677784395473496</v>
      </c>
      <c r="H68" s="76" t="n">
        <v>750</v>
      </c>
      <c r="I68" s="78" t="n">
        <v>0.4466944609886838</v>
      </c>
      <c r="J68" s="76" t="n">
        <v>2347</v>
      </c>
      <c r="K68" s="76" t="n">
        <v>2275</v>
      </c>
      <c r="L68" s="77" t="n">
        <v>0.969</v>
      </c>
      <c r="M68" s="76" t="n">
        <v>10358</v>
      </c>
      <c r="N68" s="76" t="n">
        <v>10494</v>
      </c>
      <c r="O68" s="76" t="n">
        <v>10209</v>
      </c>
      <c r="P68" s="77" t="n">
        <v>0.9856149835875652</v>
      </c>
      <c r="Q68" s="76" t="n">
        <v>26</v>
      </c>
      <c r="R68" s="76" t="n">
        <v>0</v>
      </c>
      <c r="S68" s="76" t="n">
        <v>0</v>
      </c>
      <c r="T68" s="77" t="n">
        <v>0</v>
      </c>
      <c r="U68" s="76" t="n">
        <v>0</v>
      </c>
      <c r="V68" s="77" t="n">
        <v>0</v>
      </c>
      <c r="W68" s="76" t="n">
        <v>1254</v>
      </c>
      <c r="X68" s="77" t="n">
        <v>0.7468731387730793</v>
      </c>
      <c r="Y68" s="76" t="n">
        <v>516</v>
      </c>
      <c r="Z68" s="79" t="n">
        <v>0.3073257891602144</v>
      </c>
      <c r="AA68" s="76" t="n">
        <v>31</v>
      </c>
      <c r="AB68" s="77" t="n">
        <v>0.01846337105419893</v>
      </c>
      <c r="AC68" s="76" t="n">
        <v>215</v>
      </c>
      <c r="AD68" s="77" t="n">
        <v>0.1280524121500893</v>
      </c>
      <c r="AE68" s="76" t="n">
        <v>41</v>
      </c>
      <c r="AF68" s="77" t="n">
        <v>0.1906976744186047</v>
      </c>
      <c r="AG68" s="76" t="n">
        <v>202</v>
      </c>
      <c r="AH68" s="77" t="n">
        <v>0.9395348837209302</v>
      </c>
      <c r="AI68" s="80" t="n">
        <v>210</v>
      </c>
      <c r="AJ68" s="77" t="n">
        <v>0.1250744490768314</v>
      </c>
      <c r="AK68" s="80" t="n">
        <v>1</v>
      </c>
      <c r="AL68" s="77" t="n">
        <v>0.8904761904761904</v>
      </c>
      <c r="AM68" s="80" t="n">
        <v>209</v>
      </c>
      <c r="AN68" s="80" t="n">
        <v>187</v>
      </c>
      <c r="AO68" s="77" t="n">
        <v>0.1113758189398451</v>
      </c>
      <c r="AP68" s="77" t="n">
        <v>0.8697674418604651</v>
      </c>
      <c r="AQ68" s="78" t="n">
        <v>0.9777777777777777</v>
      </c>
      <c r="AR68" s="80" t="n">
        <v>0</v>
      </c>
      <c r="AS68" s="80" t="n">
        <v>0</v>
      </c>
      <c r="AT68" s="80" t="n">
        <v>60</v>
      </c>
      <c r="AU68" s="80" t="n">
        <v>52</v>
      </c>
      <c r="AV68" s="80" t="n">
        <v>49</v>
      </c>
      <c r="AW68" s="80" t="n">
        <v>75</v>
      </c>
      <c r="AX68" s="77" t="n">
        <v>0.03097081596188207</v>
      </c>
      <c r="AY68" s="77" t="n">
        <v>0.02918403811792734</v>
      </c>
      <c r="AZ68" s="77" t="n">
        <v>0.04466944609886837</v>
      </c>
      <c r="BA68" s="77" t="n">
        <v>0.2620320855614973</v>
      </c>
      <c r="BB68" s="80" t="n">
        <v>0</v>
      </c>
      <c r="BC68" s="80" t="n">
        <v>0</v>
      </c>
      <c r="BD68" s="78" t="n">
        <v>1</v>
      </c>
      <c r="BE68" s="78" t="n">
        <v>1</v>
      </c>
      <c r="BF68" s="78" t="inlineStr">
        <is>
          <t>-</t>
        </is>
      </c>
    </row>
    <row r="69" ht="19.55" customHeight="1">
      <c r="A69" s="81" t="n">
        <v>66</v>
      </c>
      <c r="B69" s="76" t="inlineStr">
        <is>
          <t>全国</t>
        </is>
      </c>
      <c r="C69" s="82" t="n">
        <v>46129</v>
      </c>
      <c r="D69" s="76" t="inlineStr">
        <is>
          <t>N7</t>
        </is>
      </c>
      <c r="E69" s="76" t="n">
        <v>2247</v>
      </c>
      <c r="F69" s="76" t="n">
        <v>1964</v>
      </c>
      <c r="G69" s="77" t="n">
        <v>0.8740542946150422</v>
      </c>
      <c r="H69" s="76" t="n">
        <v>1196</v>
      </c>
      <c r="I69" s="78" t="n">
        <v>0.5322652425456164</v>
      </c>
      <c r="J69" s="76" t="n">
        <v>1841</v>
      </c>
      <c r="K69" s="76" t="n">
        <v>1790</v>
      </c>
      <c r="L69" s="77" t="n">
        <v>0.972</v>
      </c>
      <c r="M69" s="76" t="n">
        <v>9778</v>
      </c>
      <c r="N69" s="76" t="n">
        <v>10025</v>
      </c>
      <c r="O69" s="76" t="n">
        <v>9651</v>
      </c>
      <c r="P69" s="77" t="n">
        <v>0.9870116588259358</v>
      </c>
      <c r="Q69" s="76" t="n">
        <v>23</v>
      </c>
      <c r="R69" s="76" t="n">
        <v>0</v>
      </c>
      <c r="S69" s="76" t="n">
        <v>0</v>
      </c>
      <c r="T69" s="77" t="n">
        <v>0</v>
      </c>
      <c r="U69" s="76" t="n">
        <v>0</v>
      </c>
      <c r="V69" s="77" t="n">
        <v>0</v>
      </c>
      <c r="W69" s="76" t="n">
        <v>1101</v>
      </c>
      <c r="X69" s="77" t="n">
        <v>0.4899866488651535</v>
      </c>
      <c r="Y69" s="76" t="n">
        <v>889</v>
      </c>
      <c r="Z69" s="79" t="n">
        <v>0.3956386292834891</v>
      </c>
      <c r="AA69" s="76" t="n">
        <v>27</v>
      </c>
      <c r="AB69" s="77" t="n">
        <v>0.01201602136181575</v>
      </c>
      <c r="AC69" s="76" t="n">
        <v>238</v>
      </c>
      <c r="AD69" s="77" t="n">
        <v>0.1059190031152648</v>
      </c>
      <c r="AE69" s="76" t="n">
        <v>36</v>
      </c>
      <c r="AF69" s="77" t="n">
        <v>0.1512605042016807</v>
      </c>
      <c r="AG69" s="76" t="n">
        <v>214</v>
      </c>
      <c r="AH69" s="77" t="n">
        <v>0.8991596638655462</v>
      </c>
      <c r="AI69" s="80" t="n">
        <v>227</v>
      </c>
      <c r="AJ69" s="77" t="n">
        <v>0.1010235870048954</v>
      </c>
      <c r="AK69" s="80" t="n">
        <v>1</v>
      </c>
      <c r="AL69" s="77" t="n">
        <v>0.8237885462555066</v>
      </c>
      <c r="AM69" s="80" t="n">
        <v>227</v>
      </c>
      <c r="AN69" s="80" t="n">
        <v>187</v>
      </c>
      <c r="AO69" s="77" t="n">
        <v>0.08322207387627949</v>
      </c>
      <c r="AP69" s="77" t="n">
        <v>0.7857142857142857</v>
      </c>
      <c r="AQ69" s="78" t="n">
        <v>0.9545454545454546</v>
      </c>
      <c r="AR69" s="80" t="n">
        <v>0</v>
      </c>
      <c r="AS69" s="80" t="n">
        <v>0</v>
      </c>
      <c r="AT69" s="80" t="n">
        <v>68</v>
      </c>
      <c r="AU69" s="80" t="n">
        <v>55</v>
      </c>
      <c r="AV69" s="80" t="n">
        <v>53</v>
      </c>
      <c r="AW69" s="80" t="n">
        <v>67</v>
      </c>
      <c r="AX69" s="77" t="n">
        <v>0.02447708055184691</v>
      </c>
      <c r="AY69" s="77" t="n">
        <v>0.02358700489541611</v>
      </c>
      <c r="AZ69" s="77" t="n">
        <v>0.02981753449043169</v>
      </c>
      <c r="BA69" s="77" t="n">
        <v>0.2834224598930482</v>
      </c>
      <c r="BB69" s="80" t="n">
        <v>0</v>
      </c>
      <c r="BC69" s="80" t="n">
        <v>0</v>
      </c>
      <c r="BD69" s="78" t="n">
        <v>1</v>
      </c>
      <c r="BE69" s="78" t="n">
        <v>1</v>
      </c>
      <c r="BF69" s="78" t="inlineStr">
        <is>
          <t>-</t>
        </is>
      </c>
    </row>
    <row r="70" ht="19.55" customHeight="1">
      <c r="A70" s="81" t="n">
        <v>67</v>
      </c>
      <c r="B70" s="76" t="inlineStr">
        <is>
          <t>全国</t>
        </is>
      </c>
      <c r="C70" s="82" t="n">
        <v>46129</v>
      </c>
      <c r="D70" s="76" t="inlineStr">
        <is>
          <t>NX8</t>
        </is>
      </c>
      <c r="E70" s="76" t="n">
        <v>7478</v>
      </c>
      <c r="F70" s="76" t="n">
        <v>6521</v>
      </c>
      <c r="G70" s="77" t="n">
        <v>0.8720246055094946</v>
      </c>
      <c r="H70" s="76" t="n">
        <v>2557</v>
      </c>
      <c r="I70" s="78" t="n">
        <v>0.3419363466167424</v>
      </c>
      <c r="J70" s="76" t="n">
        <v>8536</v>
      </c>
      <c r="K70" s="76" t="n">
        <v>8335</v>
      </c>
      <c r="L70" s="77" t="n">
        <v>0.976</v>
      </c>
      <c r="M70" s="76" t="n">
        <v>27845</v>
      </c>
      <c r="N70" s="76" t="n">
        <v>29579</v>
      </c>
      <c r="O70" s="76" t="n">
        <v>27436</v>
      </c>
      <c r="P70" s="77" t="n">
        <v>0.9853115460585383</v>
      </c>
      <c r="Q70" s="76" t="n">
        <v>32</v>
      </c>
      <c r="R70" s="76" t="n">
        <v>0</v>
      </c>
      <c r="S70" s="76" t="n">
        <v>0</v>
      </c>
      <c r="T70" s="77" t="n">
        <v>0</v>
      </c>
      <c r="U70" s="76" t="n">
        <v>0</v>
      </c>
      <c r="V70" s="77" t="n">
        <v>0</v>
      </c>
      <c r="W70" s="76" t="n">
        <v>1018</v>
      </c>
      <c r="X70" s="77" t="n">
        <v>0.1361326557903183</v>
      </c>
      <c r="Y70" s="76" t="n">
        <v>1419</v>
      </c>
      <c r="Z70" s="79" t="n">
        <v>0.1897566194169564</v>
      </c>
      <c r="AA70" s="76" t="n">
        <v>1</v>
      </c>
      <c r="AB70" s="77" t="n">
        <v>0.0001337255950788981</v>
      </c>
      <c r="AC70" s="76" t="n">
        <v>1489</v>
      </c>
      <c r="AD70" s="77" t="n">
        <v>0.1991174110724793</v>
      </c>
      <c r="AE70" s="76" t="n">
        <v>313</v>
      </c>
      <c r="AF70" s="77" t="n">
        <v>0.2102081934184016</v>
      </c>
      <c r="AG70" s="76" t="n">
        <v>1373</v>
      </c>
      <c r="AH70" s="77" t="n">
        <v>0.9220953660174613</v>
      </c>
      <c r="AI70" s="80" t="n">
        <v>1575</v>
      </c>
      <c r="AJ70" s="77" t="n">
        <v>0.2106178122492645</v>
      </c>
      <c r="AK70" s="80" t="n">
        <v>17</v>
      </c>
      <c r="AL70" s="77" t="n">
        <v>0.8901587301587301</v>
      </c>
      <c r="AM70" s="80" t="n">
        <v>1571</v>
      </c>
      <c r="AN70" s="80" t="n">
        <v>1402</v>
      </c>
      <c r="AO70" s="77" t="n">
        <v>0.1874832843006151</v>
      </c>
      <c r="AP70" s="77" t="n">
        <v>0.941571524513096</v>
      </c>
      <c r="AQ70" s="78" t="n">
        <v>0.9651810584958217</v>
      </c>
      <c r="AR70" s="80" t="n">
        <v>0</v>
      </c>
      <c r="AS70" s="80" t="n">
        <v>0</v>
      </c>
      <c r="AT70" s="80" t="n">
        <v>115</v>
      </c>
      <c r="AU70" s="80" t="n">
        <v>107</v>
      </c>
      <c r="AV70" s="80" t="n">
        <v>100</v>
      </c>
      <c r="AW70" s="80" t="n">
        <v>46</v>
      </c>
      <c r="AX70" s="77" t="n">
        <v>0.0143086386734421</v>
      </c>
      <c r="AY70" s="77" t="n">
        <v>0.01337255950788981</v>
      </c>
      <c r="AZ70" s="77" t="n">
        <v>0.006151377373629313</v>
      </c>
      <c r="BA70" s="77" t="n">
        <v>0.07132667617689016</v>
      </c>
      <c r="BB70" s="80" t="n">
        <v>0</v>
      </c>
      <c r="BC70" s="80" t="n">
        <v>1</v>
      </c>
      <c r="BD70" s="78" t="n">
        <v>0.9737827715355806</v>
      </c>
      <c r="BE70" s="78" t="n">
        <v>1</v>
      </c>
      <c r="BF70" s="78" t="inlineStr">
        <is>
          <t>-</t>
        </is>
      </c>
    </row>
    <row r="71" ht="19.55" customHeight="1">
      <c r="A71" s="81" t="n">
        <v>68</v>
      </c>
      <c r="B71" s="76" t="inlineStr">
        <is>
          <t>全国</t>
        </is>
      </c>
      <c r="C71" s="82" t="n">
        <v>46129</v>
      </c>
      <c r="D71" s="76" t="inlineStr">
        <is>
          <t>天籁·鸿蒙座舱</t>
        </is>
      </c>
      <c r="E71" s="76" t="n">
        <v>2846</v>
      </c>
      <c r="F71" s="76" t="n">
        <v>2503</v>
      </c>
      <c r="G71" s="77" t="n">
        <v>0.8794799718903724</v>
      </c>
      <c r="H71" s="76" t="n">
        <v>1536</v>
      </c>
      <c r="I71" s="78" t="n">
        <v>0.5397048489107519</v>
      </c>
      <c r="J71" s="76" t="n">
        <v>3771</v>
      </c>
      <c r="K71" s="76" t="n">
        <v>3679</v>
      </c>
      <c r="L71" s="77" t="n">
        <v>0.976</v>
      </c>
      <c r="M71" s="76" t="n">
        <v>17347</v>
      </c>
      <c r="N71" s="76" t="n">
        <v>17767</v>
      </c>
      <c r="O71" s="76" t="n">
        <v>17122</v>
      </c>
      <c r="P71" s="77" t="n">
        <v>0.987029457543091</v>
      </c>
      <c r="Q71" s="76" t="n">
        <v>47</v>
      </c>
      <c r="R71" s="76" t="n">
        <v>0</v>
      </c>
      <c r="S71" s="76" t="n">
        <v>0</v>
      </c>
      <c r="T71" s="77" t="n">
        <v>0</v>
      </c>
      <c r="U71" s="76" t="n">
        <v>0</v>
      </c>
      <c r="V71" s="77" t="n">
        <v>0</v>
      </c>
      <c r="W71" s="76" t="n">
        <v>2101</v>
      </c>
      <c r="X71" s="77" t="n">
        <v>0.7382290934645116</v>
      </c>
      <c r="Y71" s="76" t="n">
        <v>1061</v>
      </c>
      <c r="Z71" s="79" t="n">
        <v>0.3728039353478567</v>
      </c>
      <c r="AA71" s="76" t="n">
        <v>95</v>
      </c>
      <c r="AB71" s="77" t="n">
        <v>0.03338018271257906</v>
      </c>
      <c r="AC71" s="76" t="n">
        <v>426</v>
      </c>
      <c r="AD71" s="77" t="n">
        <v>0.1496837666900914</v>
      </c>
      <c r="AE71" s="76" t="n">
        <v>59</v>
      </c>
      <c r="AF71" s="77" t="n">
        <v>0.1384976525821596</v>
      </c>
      <c r="AG71" s="76" t="n">
        <v>399</v>
      </c>
      <c r="AH71" s="77" t="n">
        <v>0.9366197183098591</v>
      </c>
      <c r="AI71" s="80" t="n">
        <v>435</v>
      </c>
      <c r="AJ71" s="77" t="n">
        <v>0.1528460997891778</v>
      </c>
      <c r="AK71" s="80" t="n">
        <v>0</v>
      </c>
      <c r="AL71" s="77" t="n">
        <v>0.9471264367816092</v>
      </c>
      <c r="AM71" s="80" t="n">
        <v>433</v>
      </c>
      <c r="AN71" s="80" t="n">
        <v>412</v>
      </c>
      <c r="AO71" s="77" t="n">
        <v>0.1447645818692902</v>
      </c>
      <c r="AP71" s="77" t="n">
        <v>0.9671361502347418</v>
      </c>
      <c r="AQ71" s="78" t="n">
        <v>0.9476309226932669</v>
      </c>
      <c r="AR71" s="80" t="n">
        <v>0</v>
      </c>
      <c r="AS71" s="80" t="n">
        <v>0</v>
      </c>
      <c r="AT71" s="80" t="n">
        <v>55</v>
      </c>
      <c r="AU71" s="80" t="n">
        <v>47</v>
      </c>
      <c r="AV71" s="80" t="n">
        <v>52</v>
      </c>
      <c r="AW71" s="80" t="n">
        <v>98</v>
      </c>
      <c r="AX71" s="77" t="n">
        <v>0.01651440618411806</v>
      </c>
      <c r="AY71" s="77" t="n">
        <v>0.01827125790583275</v>
      </c>
      <c r="AZ71" s="77" t="n">
        <v>0.03443429374560787</v>
      </c>
      <c r="BA71" s="77" t="n">
        <v>0.1262135922330097</v>
      </c>
      <c r="BB71" s="80" t="n">
        <v>0</v>
      </c>
      <c r="BC71" s="80" t="n">
        <v>0</v>
      </c>
      <c r="BD71" s="78" t="n">
        <v>1</v>
      </c>
      <c r="BE71" s="78" t="n">
        <v>1</v>
      </c>
      <c r="BF71" s="78" t="inlineStr">
        <is>
          <t>-</t>
        </is>
      </c>
    </row>
    <row r="72" ht="19.55" customHeight="1">
      <c r="A72" s="81" t="n">
        <v>69</v>
      </c>
      <c r="B72" s="76" t="inlineStr">
        <is>
          <t>全国</t>
        </is>
      </c>
      <c r="C72" s="82" t="n">
        <v>46130</v>
      </c>
      <c r="D72" s="76" t="inlineStr">
        <is>
          <t>N6</t>
        </is>
      </c>
      <c r="E72" s="76" t="n">
        <v>1623</v>
      </c>
      <c r="F72" s="76" t="n">
        <v>1407</v>
      </c>
      <c r="G72" s="77" t="n">
        <v>0.866913123844732</v>
      </c>
      <c r="H72" s="76" t="n">
        <v>518</v>
      </c>
      <c r="I72" s="78" t="n">
        <v>0.3191620455945779</v>
      </c>
      <c r="J72" s="76" t="n">
        <v>1615</v>
      </c>
      <c r="K72" s="76" t="n">
        <v>1566</v>
      </c>
      <c r="L72" s="77" t="n">
        <v>0.97</v>
      </c>
      <c r="M72" s="76" t="n">
        <v>9415</v>
      </c>
      <c r="N72" s="76" t="n">
        <v>9365</v>
      </c>
      <c r="O72" s="76" t="n">
        <v>9258</v>
      </c>
      <c r="P72" s="77" t="n">
        <v>0.9833244822092406</v>
      </c>
      <c r="Q72" s="76" t="n">
        <v>28</v>
      </c>
      <c r="R72" s="76" t="n">
        <v>0</v>
      </c>
      <c r="S72" s="76" t="n">
        <v>0</v>
      </c>
      <c r="T72" s="77" t="n">
        <v>0</v>
      </c>
      <c r="U72" s="76" t="n">
        <v>0</v>
      </c>
      <c r="V72" s="77" t="n">
        <v>0</v>
      </c>
      <c r="W72" s="76" t="n">
        <v>1461</v>
      </c>
      <c r="X72" s="77" t="n">
        <v>0.9001848428835489</v>
      </c>
      <c r="Y72" s="76" t="n">
        <v>548</v>
      </c>
      <c r="Z72" s="79" t="n">
        <v>0.3376463339494763</v>
      </c>
      <c r="AA72" s="76" t="n">
        <v>40</v>
      </c>
      <c r="AB72" s="77" t="n">
        <v>0.02464571780653111</v>
      </c>
      <c r="AC72" s="76" t="n">
        <v>290</v>
      </c>
      <c r="AD72" s="77" t="n">
        <v>0.1786814540973506</v>
      </c>
      <c r="AE72" s="76" t="n">
        <v>35</v>
      </c>
      <c r="AF72" s="77" t="n">
        <v>0.1206896551724138</v>
      </c>
      <c r="AG72" s="76" t="n">
        <v>273</v>
      </c>
      <c r="AH72" s="77" t="n">
        <v>0.9413793103448276</v>
      </c>
      <c r="AI72" s="80" t="n">
        <v>281</v>
      </c>
      <c r="AJ72" s="77" t="n">
        <v>0.1731361675908811</v>
      </c>
      <c r="AK72" s="80" t="n">
        <v>0</v>
      </c>
      <c r="AL72" s="77" t="n">
        <v>0.9110320284697508</v>
      </c>
      <c r="AM72" s="80" t="n">
        <v>280</v>
      </c>
      <c r="AN72" s="80" t="n">
        <v>256</v>
      </c>
      <c r="AO72" s="77" t="n">
        <v>0.1577325939617991</v>
      </c>
      <c r="AP72" s="77" t="n">
        <v>0.8827586206896552</v>
      </c>
      <c r="AQ72" s="78" t="n">
        <v>0.9751243781094527</v>
      </c>
      <c r="AR72" s="80" t="n">
        <v>0</v>
      </c>
      <c r="AS72" s="80" t="n">
        <v>0</v>
      </c>
      <c r="AT72" s="80" t="n">
        <v>101</v>
      </c>
      <c r="AU72" s="80" t="n">
        <v>96</v>
      </c>
      <c r="AV72" s="80" t="n">
        <v>94</v>
      </c>
      <c r="AW72" s="80" t="n">
        <v>49</v>
      </c>
      <c r="AX72" s="77" t="n">
        <v>0.05914972273567468</v>
      </c>
      <c r="AY72" s="77" t="n">
        <v>0.05791743684534812</v>
      </c>
      <c r="AZ72" s="77" t="n">
        <v>0.03019100431300062</v>
      </c>
      <c r="BA72" s="77" t="n">
        <v>0.3671875</v>
      </c>
      <c r="BB72" s="80" t="n">
        <v>0</v>
      </c>
      <c r="BC72" s="80" t="n">
        <v>0</v>
      </c>
      <c r="BD72" s="78" t="n">
        <v>1</v>
      </c>
      <c r="BE72" s="78" t="n">
        <v>1</v>
      </c>
      <c r="BF72" s="78" t="inlineStr">
        <is>
          <t>-</t>
        </is>
      </c>
    </row>
    <row r="73" ht="19.55" customHeight="1">
      <c r="A73" s="81" t="n">
        <v>70</v>
      </c>
      <c r="B73" s="76" t="inlineStr">
        <is>
          <t>全国</t>
        </is>
      </c>
      <c r="C73" s="82" t="n">
        <v>46130</v>
      </c>
      <c r="D73" s="76" t="inlineStr">
        <is>
          <t>N7</t>
        </is>
      </c>
      <c r="E73" s="76" t="n">
        <v>3748</v>
      </c>
      <c r="F73" s="76" t="n">
        <v>3181</v>
      </c>
      <c r="G73" s="77" t="n">
        <v>0.8487193169690501</v>
      </c>
      <c r="H73" s="76" t="n">
        <v>2402</v>
      </c>
      <c r="I73" s="78" t="n">
        <v>0.6408751334044824</v>
      </c>
      <c r="J73" s="76" t="n">
        <v>3689</v>
      </c>
      <c r="K73" s="76" t="n">
        <v>3635</v>
      </c>
      <c r="L73" s="77" t="n">
        <v>0.985</v>
      </c>
      <c r="M73" s="76" t="n">
        <v>11299</v>
      </c>
      <c r="N73" s="76" t="n">
        <v>11760</v>
      </c>
      <c r="O73" s="76" t="n">
        <v>11152</v>
      </c>
      <c r="P73" s="77" t="n">
        <v>0.98699</v>
      </c>
      <c r="Q73" s="76" t="n">
        <v>19</v>
      </c>
      <c r="R73" s="76" t="n">
        <v>0</v>
      </c>
      <c r="S73" s="76" t="n">
        <v>0</v>
      </c>
      <c r="T73" s="77" t="n">
        <v>0</v>
      </c>
      <c r="U73" s="76" t="n">
        <v>0</v>
      </c>
      <c r="V73" s="77" t="n">
        <v>0</v>
      </c>
      <c r="W73" s="76" t="n">
        <v>1251</v>
      </c>
      <c r="X73" s="77" t="n">
        <v>0.333778014941302</v>
      </c>
      <c r="Y73" s="76" t="n">
        <v>572</v>
      </c>
      <c r="Z73" s="79" t="n">
        <v>0.1526147278548559</v>
      </c>
      <c r="AA73" s="76" t="n">
        <v>31</v>
      </c>
      <c r="AB73" s="77" t="n">
        <v>0.008271077908217716</v>
      </c>
      <c r="AC73" s="76" t="n">
        <v>440</v>
      </c>
      <c r="AD73" s="77" t="n">
        <v>0.1173959445037353</v>
      </c>
      <c r="AE73" s="76" t="n">
        <v>53</v>
      </c>
      <c r="AF73" s="77" t="n">
        <v>0.1204545454545455</v>
      </c>
      <c r="AG73" s="76" t="n">
        <v>412</v>
      </c>
      <c r="AH73" s="77" t="n">
        <v>0.9363636363636364</v>
      </c>
      <c r="AI73" s="80" t="n">
        <v>419</v>
      </c>
      <c r="AJ73" s="77" t="n">
        <v>0.1117929562433298</v>
      </c>
      <c r="AK73" s="80" t="n">
        <v>3</v>
      </c>
      <c r="AL73" s="77" t="n">
        <v>0.8496420047732697</v>
      </c>
      <c r="AM73" s="80" t="n">
        <v>418</v>
      </c>
      <c r="AN73" s="80" t="n">
        <v>356</v>
      </c>
      <c r="AO73" s="77" t="n">
        <v>0.09498399146211313</v>
      </c>
      <c r="AP73" s="77" t="n">
        <v>0.8090909090909091</v>
      </c>
      <c r="AQ73" s="78" t="n">
        <v>0.9638009049773756</v>
      </c>
      <c r="AR73" s="80" t="n">
        <v>0</v>
      </c>
      <c r="AS73" s="80" t="n">
        <v>0</v>
      </c>
      <c r="AT73" s="80" t="n">
        <v>95</v>
      </c>
      <c r="AU73" s="80" t="n">
        <v>87</v>
      </c>
      <c r="AV73" s="80" t="n">
        <v>88</v>
      </c>
      <c r="AW73" s="80" t="n">
        <v>46</v>
      </c>
      <c r="AX73" s="77" t="n">
        <v>0.02321237993596585</v>
      </c>
      <c r="AY73" s="77" t="n">
        <v>0.02347918890074707</v>
      </c>
      <c r="AZ73" s="77" t="n">
        <v>0.01227321237993596</v>
      </c>
      <c r="BA73" s="77" t="n">
        <v>0.247191011235955</v>
      </c>
      <c r="BB73" s="80" t="n">
        <v>0</v>
      </c>
      <c r="BC73" s="80" t="n">
        <v>0</v>
      </c>
      <c r="BD73" s="78" t="n">
        <v>0.9787234042553191</v>
      </c>
      <c r="BE73" s="78" t="n">
        <v>1</v>
      </c>
      <c r="BF73" s="78" t="inlineStr">
        <is>
          <t>-</t>
        </is>
      </c>
    </row>
    <row r="74" ht="19.55" customHeight="1">
      <c r="A74" s="81" t="n">
        <v>71</v>
      </c>
      <c r="B74" s="76" t="inlineStr">
        <is>
          <t>全国</t>
        </is>
      </c>
      <c r="C74" s="82" t="n">
        <v>46130</v>
      </c>
      <c r="D74" s="76" t="inlineStr">
        <is>
          <t>NX8</t>
        </is>
      </c>
      <c r="E74" s="76" t="n">
        <v>9164</v>
      </c>
      <c r="F74" s="76" t="n">
        <v>8031</v>
      </c>
      <c r="G74" s="77" t="n">
        <v>0.8763640331732868</v>
      </c>
      <c r="H74" s="76" t="n">
        <v>3003</v>
      </c>
      <c r="I74" s="78" t="n">
        <v>0.3276953295504147</v>
      </c>
      <c r="J74" s="76" t="n">
        <v>6894</v>
      </c>
      <c r="K74" s="76" t="n">
        <v>6741</v>
      </c>
      <c r="L74" s="77" t="n">
        <v>0.978</v>
      </c>
      <c r="M74" s="76" t="n">
        <v>27400</v>
      </c>
      <c r="N74" s="76" t="n">
        <v>29206</v>
      </c>
      <c r="O74" s="76" t="n">
        <v>27048</v>
      </c>
      <c r="P74" s="77" t="n">
        <v>0.9871532846715328</v>
      </c>
      <c r="Q74" s="76" t="n">
        <v>36</v>
      </c>
      <c r="R74" s="76" t="n">
        <v>0</v>
      </c>
      <c r="S74" s="76" t="n">
        <v>0</v>
      </c>
      <c r="T74" s="77" t="n">
        <v>0</v>
      </c>
      <c r="U74" s="76" t="n">
        <v>0</v>
      </c>
      <c r="V74" s="77" t="n">
        <v>0</v>
      </c>
      <c r="W74" s="76" t="n">
        <v>1251</v>
      </c>
      <c r="X74" s="77" t="n">
        <v>0.1365124399825404</v>
      </c>
      <c r="Y74" s="76" t="n">
        <v>1205</v>
      </c>
      <c r="Z74" s="79" t="n">
        <v>0.1314927979048451</v>
      </c>
      <c r="AA74" s="76" t="n">
        <v>4</v>
      </c>
      <c r="AB74" s="77" t="n">
        <v>0.0004364906154517678</v>
      </c>
      <c r="AC74" s="76" t="n">
        <v>2266</v>
      </c>
      <c r="AD74" s="77" t="n">
        <v>0.2472719336534265</v>
      </c>
      <c r="AE74" s="76" t="n">
        <v>334</v>
      </c>
      <c r="AF74" s="77" t="n">
        <v>0.147396293027361</v>
      </c>
      <c r="AG74" s="76" t="n">
        <v>2097</v>
      </c>
      <c r="AH74" s="77" t="n">
        <v>0.9254192409532216</v>
      </c>
      <c r="AI74" s="80" t="n">
        <v>2273</v>
      </c>
      <c r="AJ74" s="77" t="n">
        <v>0.248035792230467</v>
      </c>
      <c r="AK74" s="80" t="n">
        <v>21</v>
      </c>
      <c r="AL74" s="77" t="n">
        <v>0.9296084469863617</v>
      </c>
      <c r="AM74" s="80" t="n">
        <v>2272</v>
      </c>
      <c r="AN74" s="80" t="n">
        <v>2113</v>
      </c>
      <c r="AO74" s="77" t="n">
        <v>0.2305761676123963</v>
      </c>
      <c r="AP74" s="77" t="n">
        <v>0.9324801412180053</v>
      </c>
      <c r="AQ74" s="78" t="n">
        <v>0.9828947368421053</v>
      </c>
      <c r="AR74" s="80" t="n">
        <v>0</v>
      </c>
      <c r="AS74" s="80" t="n">
        <v>0</v>
      </c>
      <c r="AT74" s="80" t="n">
        <v>244</v>
      </c>
      <c r="AU74" s="80" t="n">
        <v>233</v>
      </c>
      <c r="AV74" s="80" t="n">
        <v>225</v>
      </c>
      <c r="AW74" s="80" t="n">
        <v>31</v>
      </c>
      <c r="AX74" s="77" t="n">
        <v>0.02542557835006547</v>
      </c>
      <c r="AY74" s="77" t="n">
        <v>0.02455259711916194</v>
      </c>
      <c r="AZ74" s="77" t="n">
        <v>0.0033828022697512</v>
      </c>
      <c r="BA74" s="77" t="n">
        <v>0.1064836725035495</v>
      </c>
      <c r="BB74" s="80" t="n">
        <v>0</v>
      </c>
      <c r="BC74" s="80" t="n">
        <v>1</v>
      </c>
      <c r="BD74" s="78" t="n">
        <v>0.9898648648648649</v>
      </c>
      <c r="BE74" s="78" t="n">
        <v>1</v>
      </c>
      <c r="BF74" s="78" t="inlineStr">
        <is>
          <t>-</t>
        </is>
      </c>
    </row>
    <row r="75" ht="19.55" customHeight="1">
      <c r="A75" s="81" t="n">
        <v>72</v>
      </c>
      <c r="B75" s="76" t="inlineStr">
        <is>
          <t>全国</t>
        </is>
      </c>
      <c r="C75" s="82" t="n">
        <v>46130</v>
      </c>
      <c r="D75" s="76" t="inlineStr">
        <is>
          <t>天籁·鸿蒙座舱</t>
        </is>
      </c>
      <c r="E75" s="76" t="n">
        <v>2791</v>
      </c>
      <c r="F75" s="76" t="n">
        <v>2497</v>
      </c>
      <c r="G75" s="77" t="n">
        <v>0.8946614116804013</v>
      </c>
      <c r="H75" s="76" t="n">
        <v>1300</v>
      </c>
      <c r="I75" s="78" t="n">
        <v>0.4657828735220351</v>
      </c>
      <c r="J75" s="76" t="n">
        <v>2892</v>
      </c>
      <c r="K75" s="76" t="n">
        <v>2840</v>
      </c>
      <c r="L75" s="77" t="n">
        <v>0.982</v>
      </c>
      <c r="M75" s="76" t="n">
        <v>16649</v>
      </c>
      <c r="N75" s="76" t="n">
        <v>16683</v>
      </c>
      <c r="O75" s="76" t="n">
        <v>16480</v>
      </c>
      <c r="P75" s="77" t="n">
        <v>0.9898492401946063</v>
      </c>
      <c r="Q75" s="76" t="n">
        <v>35</v>
      </c>
      <c r="R75" s="76" t="n">
        <v>0</v>
      </c>
      <c r="S75" s="76" t="n">
        <v>0</v>
      </c>
      <c r="T75" s="77" t="n">
        <v>0</v>
      </c>
      <c r="U75" s="76" t="n">
        <v>0</v>
      </c>
      <c r="V75" s="77" t="n">
        <v>0</v>
      </c>
      <c r="W75" s="76" t="n">
        <v>2059</v>
      </c>
      <c r="X75" s="77" t="n">
        <v>0.7377284127552849</v>
      </c>
      <c r="Y75" s="76" t="n">
        <v>769</v>
      </c>
      <c r="Z75" s="79" t="n">
        <v>0.2755284844141885</v>
      </c>
      <c r="AA75" s="76" t="n">
        <v>84</v>
      </c>
      <c r="AB75" s="77" t="n">
        <v>0.03009673951988535</v>
      </c>
      <c r="AC75" s="76" t="n">
        <v>627</v>
      </c>
      <c r="AD75" s="77" t="n">
        <v>0.2246506628448585</v>
      </c>
      <c r="AE75" s="76" t="n">
        <v>78</v>
      </c>
      <c r="AF75" s="77" t="n">
        <v>0.1244019138755981</v>
      </c>
      <c r="AG75" s="76" t="n">
        <v>579</v>
      </c>
      <c r="AH75" s="77" t="n">
        <v>0.9234449760765551</v>
      </c>
      <c r="AI75" s="80" t="n">
        <v>620</v>
      </c>
      <c r="AJ75" s="77" t="n">
        <v>0.2221426012182014</v>
      </c>
      <c r="AK75" s="80" t="n">
        <v>1</v>
      </c>
      <c r="AL75" s="77" t="n">
        <v>0.9387096774193548</v>
      </c>
      <c r="AM75" s="80" t="n">
        <v>616</v>
      </c>
      <c r="AN75" s="80" t="n">
        <v>582</v>
      </c>
      <c r="AO75" s="77" t="n">
        <v>0.2085274095306342</v>
      </c>
      <c r="AP75" s="77" t="n">
        <v>0.9282296650717703</v>
      </c>
      <c r="AQ75" s="78" t="n">
        <v>0.9618138424821002</v>
      </c>
      <c r="AR75" s="80" t="n">
        <v>0</v>
      </c>
      <c r="AS75" s="80" t="n">
        <v>0</v>
      </c>
      <c r="AT75" s="80" t="n">
        <v>119</v>
      </c>
      <c r="AU75" s="80" t="n">
        <v>114</v>
      </c>
      <c r="AV75" s="80" t="n">
        <v>108</v>
      </c>
      <c r="AW75" s="80" t="n">
        <v>74</v>
      </c>
      <c r="AX75" s="77" t="n">
        <v>0.04084557506270154</v>
      </c>
      <c r="AY75" s="77" t="n">
        <v>0.0386958079541383</v>
      </c>
      <c r="AZ75" s="77" t="n">
        <v>0.02651379433894661</v>
      </c>
      <c r="BA75" s="77" t="n">
        <v>0.1855670103092784</v>
      </c>
      <c r="BB75" s="80" t="n">
        <v>0</v>
      </c>
      <c r="BC75" s="80" t="n">
        <v>0</v>
      </c>
      <c r="BD75" s="78" t="n">
        <v>0.9764705882352941</v>
      </c>
      <c r="BE75" s="78" t="n">
        <v>1</v>
      </c>
      <c r="BF75" s="78" t="inlineStr">
        <is>
          <t>-</t>
        </is>
      </c>
    </row>
    <row r="76" ht="19.55" customHeight="1">
      <c r="A76" s="81" t="n">
        <v>73</v>
      </c>
      <c r="B76" s="76" t="inlineStr">
        <is>
          <t>全国</t>
        </is>
      </c>
      <c r="C76" s="82" t="n">
        <v>46131</v>
      </c>
      <c r="D76" s="76" t="inlineStr">
        <is>
          <t>N6</t>
        </is>
      </c>
      <c r="E76" s="76" t="n">
        <v>1560</v>
      </c>
      <c r="F76" s="76" t="n">
        <v>1415</v>
      </c>
      <c r="G76" s="77" t="n">
        <v>0.907051282051282</v>
      </c>
      <c r="H76" s="76" t="n">
        <v>557</v>
      </c>
      <c r="I76" s="78" t="n">
        <v>0.3570512820512821</v>
      </c>
      <c r="J76" s="76" t="n">
        <v>1854</v>
      </c>
      <c r="K76" s="76" t="n">
        <v>1793</v>
      </c>
      <c r="L76" s="77" t="n">
        <v>0.967</v>
      </c>
      <c r="M76" s="76" t="n">
        <v>9785</v>
      </c>
      <c r="N76" s="76" t="n">
        <v>9667</v>
      </c>
      <c r="O76" s="76" t="n">
        <v>9652</v>
      </c>
      <c r="P76" s="77" t="n">
        <v>0.9864077669902913</v>
      </c>
      <c r="Q76" s="76" t="n">
        <v>26</v>
      </c>
      <c r="R76" s="76" t="n">
        <v>0</v>
      </c>
      <c r="S76" s="76" t="n">
        <v>0</v>
      </c>
      <c r="T76" s="77" t="n">
        <v>0</v>
      </c>
      <c r="U76" s="76" t="n">
        <v>0</v>
      </c>
      <c r="V76" s="77" t="n">
        <v>0</v>
      </c>
      <c r="W76" s="76" t="n">
        <v>1630</v>
      </c>
      <c r="X76" s="77" t="n">
        <v>1.044871794871795</v>
      </c>
      <c r="Y76" s="76" t="n">
        <v>402</v>
      </c>
      <c r="Z76" s="79" t="n">
        <v>0.2576923076923077</v>
      </c>
      <c r="AA76" s="76" t="n">
        <v>36</v>
      </c>
      <c r="AB76" s="77" t="n">
        <v>0.02307692307692308</v>
      </c>
      <c r="AC76" s="76" t="n">
        <v>275</v>
      </c>
      <c r="AD76" s="77" t="n">
        <v>0.1762820512820513</v>
      </c>
      <c r="AE76" s="76" t="n">
        <v>37</v>
      </c>
      <c r="AF76" s="77" t="n">
        <v>0.1345454545454546</v>
      </c>
      <c r="AG76" s="76" t="n">
        <v>251</v>
      </c>
      <c r="AH76" s="77" t="n">
        <v>0.9127272727272727</v>
      </c>
      <c r="AI76" s="80" t="n">
        <v>264</v>
      </c>
      <c r="AJ76" s="77" t="n">
        <v>0.1692307692307692</v>
      </c>
      <c r="AK76" s="80" t="n">
        <v>0</v>
      </c>
      <c r="AL76" s="77" t="n">
        <v>0.9053030303030303</v>
      </c>
      <c r="AM76" s="80" t="n">
        <v>262</v>
      </c>
      <c r="AN76" s="80" t="n">
        <v>239</v>
      </c>
      <c r="AO76" s="77" t="n">
        <v>0.1532051282051282</v>
      </c>
      <c r="AP76" s="77" t="n">
        <v>0.8690909090909091</v>
      </c>
      <c r="AQ76" s="78" t="n">
        <v>0.9761904761904762</v>
      </c>
      <c r="AR76" s="80" t="n">
        <v>0</v>
      </c>
      <c r="AS76" s="80" t="n">
        <v>0</v>
      </c>
      <c r="AT76" s="80" t="n">
        <v>97</v>
      </c>
      <c r="AU76" s="80" t="n">
        <v>88</v>
      </c>
      <c r="AV76" s="80" t="n">
        <v>88</v>
      </c>
      <c r="AW76" s="80" t="n">
        <v>32</v>
      </c>
      <c r="AX76" s="77" t="n">
        <v>0.05641025641025641</v>
      </c>
      <c r="AY76" s="77" t="n">
        <v>0.05641025641025641</v>
      </c>
      <c r="AZ76" s="77" t="n">
        <v>0.02051282051282051</v>
      </c>
      <c r="BA76" s="77" t="n">
        <v>0.3682008368200837</v>
      </c>
      <c r="BB76" s="80" t="n">
        <v>0</v>
      </c>
      <c r="BC76" s="80" t="n">
        <v>0</v>
      </c>
      <c r="BD76" s="78" t="n">
        <v>1</v>
      </c>
      <c r="BE76" s="78" t="n">
        <v>1</v>
      </c>
      <c r="BF76" s="78" t="inlineStr">
        <is>
          <t>-</t>
        </is>
      </c>
    </row>
    <row r="77" ht="19.55" customHeight="1">
      <c r="A77" s="81" t="n">
        <v>74</v>
      </c>
      <c r="B77" s="76" t="inlineStr">
        <is>
          <t>全国</t>
        </is>
      </c>
      <c r="C77" s="82" t="n">
        <v>46131</v>
      </c>
      <c r="D77" s="76" t="inlineStr">
        <is>
          <t>N7</t>
        </is>
      </c>
      <c r="E77" s="76" t="n">
        <v>2414</v>
      </c>
      <c r="F77" s="76" t="n">
        <v>2164</v>
      </c>
      <c r="G77" s="77" t="n">
        <v>0.8964374482187241</v>
      </c>
      <c r="H77" s="76" t="n">
        <v>1381</v>
      </c>
      <c r="I77" s="78" t="n">
        <v>0.572079536039768</v>
      </c>
      <c r="J77" s="76" t="n">
        <v>2365</v>
      </c>
      <c r="K77" s="76" t="n">
        <v>2297</v>
      </c>
      <c r="L77" s="77" t="n">
        <v>0.971</v>
      </c>
      <c r="M77" s="76" t="n">
        <v>10810</v>
      </c>
      <c r="N77" s="76" t="n">
        <v>10581</v>
      </c>
      <c r="O77" s="76" t="n">
        <v>10650</v>
      </c>
      <c r="P77" s="77" t="n">
        <v>0.9851988899167438</v>
      </c>
      <c r="Q77" s="76" t="n">
        <v>27</v>
      </c>
      <c r="R77" s="76" t="n">
        <v>0</v>
      </c>
      <c r="S77" s="76" t="n">
        <v>0</v>
      </c>
      <c r="T77" s="77" t="n">
        <v>0</v>
      </c>
      <c r="U77" s="76" t="n">
        <v>0</v>
      </c>
      <c r="V77" s="77" t="n">
        <v>0</v>
      </c>
      <c r="W77" s="76" t="n">
        <v>1657</v>
      </c>
      <c r="X77" s="77" t="n">
        <v>0.6864125932062966</v>
      </c>
      <c r="Y77" s="76" t="n">
        <v>481</v>
      </c>
      <c r="Z77" s="79" t="n">
        <v>0.1992543496271748</v>
      </c>
      <c r="AA77" s="76" t="n">
        <v>20</v>
      </c>
      <c r="AB77" s="77" t="n">
        <v>0.008285004142502071</v>
      </c>
      <c r="AC77" s="76" t="n">
        <v>389</v>
      </c>
      <c r="AD77" s="77" t="n">
        <v>0.1611433305716653</v>
      </c>
      <c r="AE77" s="76" t="n">
        <v>47</v>
      </c>
      <c r="AF77" s="77" t="n">
        <v>0.1208226221079692</v>
      </c>
      <c r="AG77" s="76" t="n">
        <v>354</v>
      </c>
      <c r="AH77" s="77" t="n">
        <v>0.910025706940874</v>
      </c>
      <c r="AI77" s="80" t="n">
        <v>371</v>
      </c>
      <c r="AJ77" s="77" t="n">
        <v>0.1536868268434134</v>
      </c>
      <c r="AK77" s="80" t="n">
        <v>3</v>
      </c>
      <c r="AL77" s="77" t="n">
        <v>0.8463611859838275</v>
      </c>
      <c r="AM77" s="80" t="n">
        <v>368</v>
      </c>
      <c r="AN77" s="80" t="n">
        <v>314</v>
      </c>
      <c r="AO77" s="77" t="n">
        <v>0.1300745650372825</v>
      </c>
      <c r="AP77" s="77" t="n">
        <v>0.8071979434447301</v>
      </c>
      <c r="AQ77" s="78" t="n">
        <v>0.9715025906735751</v>
      </c>
      <c r="AR77" s="80" t="n">
        <v>0</v>
      </c>
      <c r="AS77" s="80" t="n">
        <v>0</v>
      </c>
      <c r="AT77" s="80" t="n">
        <v>118</v>
      </c>
      <c r="AU77" s="80" t="n">
        <v>109</v>
      </c>
      <c r="AV77" s="80" t="n">
        <v>111</v>
      </c>
      <c r="AW77" s="80" t="n">
        <v>18</v>
      </c>
      <c r="AX77" s="77" t="n">
        <v>0.04515327257663629</v>
      </c>
      <c r="AY77" s="77" t="n">
        <v>0.0459817729908865</v>
      </c>
      <c r="AZ77" s="77" t="n">
        <v>0.007456503728251864</v>
      </c>
      <c r="BA77" s="77" t="n">
        <v>0.3535031847133758</v>
      </c>
      <c r="BB77" s="80" t="n">
        <v>0</v>
      </c>
      <c r="BC77" s="80" t="n">
        <v>0</v>
      </c>
      <c r="BD77" s="78" t="n">
        <v>1</v>
      </c>
      <c r="BE77" s="78" t="n">
        <v>0.9666666666666667</v>
      </c>
      <c r="BF77" s="78" t="inlineStr">
        <is>
          <t>-</t>
        </is>
      </c>
    </row>
    <row r="78" ht="19.55" customHeight="1">
      <c r="A78" s="81" t="n">
        <v>75</v>
      </c>
      <c r="B78" s="76" t="inlineStr">
        <is>
          <t>全国</t>
        </is>
      </c>
      <c r="C78" s="82" t="n">
        <v>46131</v>
      </c>
      <c r="D78" s="76" t="inlineStr">
        <is>
          <t>NX8</t>
        </is>
      </c>
      <c r="E78" s="76" t="n">
        <v>8663</v>
      </c>
      <c r="F78" s="76" t="n">
        <v>7681</v>
      </c>
      <c r="G78" s="77" t="n">
        <v>0.8866443495324945</v>
      </c>
      <c r="H78" s="76" t="n">
        <v>3369</v>
      </c>
      <c r="I78" s="78" t="n">
        <v>0.3888953018584786</v>
      </c>
      <c r="J78" s="76" t="n">
        <v>9554</v>
      </c>
      <c r="K78" s="76" t="n">
        <v>9297</v>
      </c>
      <c r="L78" s="77" t="n">
        <v>0.973</v>
      </c>
      <c r="M78" s="76" t="n">
        <v>31769</v>
      </c>
      <c r="N78" s="76" t="n">
        <v>30772</v>
      </c>
      <c r="O78" s="76" t="n">
        <v>31257</v>
      </c>
      <c r="P78" s="77" t="n">
        <v>0.9838836601718657</v>
      </c>
      <c r="Q78" s="76" t="n">
        <v>121</v>
      </c>
      <c r="R78" s="76" t="n">
        <v>0</v>
      </c>
      <c r="S78" s="76" t="n">
        <v>0</v>
      </c>
      <c r="T78" s="77" t="n">
        <v>0</v>
      </c>
      <c r="U78" s="76" t="n">
        <v>0</v>
      </c>
      <c r="V78" s="77" t="n">
        <v>0</v>
      </c>
      <c r="W78" s="76" t="n">
        <v>1469</v>
      </c>
      <c r="X78" s="77" t="n">
        <v>0.1695717418908</v>
      </c>
      <c r="Y78" s="76" t="n">
        <v>1095</v>
      </c>
      <c r="Z78" s="79" t="n">
        <v>0.1263996306129516</v>
      </c>
      <c r="AA78" s="76" t="n">
        <v>0</v>
      </c>
      <c r="AB78" s="77" t="n">
        <v>0</v>
      </c>
      <c r="AC78" s="76" t="n">
        <v>2123</v>
      </c>
      <c r="AD78" s="77" t="n">
        <v>0.2450652199007272</v>
      </c>
      <c r="AE78" s="76" t="n">
        <v>378</v>
      </c>
      <c r="AF78" s="77" t="n">
        <v>0.1780499293452661</v>
      </c>
      <c r="AG78" s="76" t="n">
        <v>1953</v>
      </c>
      <c r="AH78" s="77" t="n">
        <v>0.9199246349505417</v>
      </c>
      <c r="AI78" s="80" t="n">
        <v>2150</v>
      </c>
      <c r="AJ78" s="77" t="n">
        <v>0.2481819231213206</v>
      </c>
      <c r="AK78" s="80" t="n">
        <v>15</v>
      </c>
      <c r="AL78" s="77" t="n">
        <v>0.912093023255814</v>
      </c>
      <c r="AM78" s="80" t="n">
        <v>2128</v>
      </c>
      <c r="AN78" s="80" t="n">
        <v>1961</v>
      </c>
      <c r="AO78" s="77" t="n">
        <v>0.2263650005771673</v>
      </c>
      <c r="AP78" s="77" t="n">
        <v>0.9236928874234573</v>
      </c>
      <c r="AQ78" s="78" t="n">
        <v>0.9698605488079173</v>
      </c>
      <c r="AR78" s="80" t="n">
        <v>0</v>
      </c>
      <c r="AS78" s="80" t="n">
        <v>0</v>
      </c>
      <c r="AT78" s="80" t="n">
        <v>271</v>
      </c>
      <c r="AU78" s="80" t="n">
        <v>256</v>
      </c>
      <c r="AV78" s="80" t="n">
        <v>251</v>
      </c>
      <c r="AW78" s="80" t="n">
        <v>17</v>
      </c>
      <c r="AX78" s="77" t="n">
        <v>0.02955096386932933</v>
      </c>
      <c r="AY78" s="77" t="n">
        <v>0.02897379660625649</v>
      </c>
      <c r="AZ78" s="77" t="n">
        <v>0.001962368694447651</v>
      </c>
      <c r="BA78" s="77" t="n">
        <v>0.1279959204487506</v>
      </c>
      <c r="BB78" s="80" t="n">
        <v>0</v>
      </c>
      <c r="BC78" s="80" t="n">
        <v>0</v>
      </c>
      <c r="BD78" s="78" t="n">
        <v>0.9726962457337884</v>
      </c>
      <c r="BE78" s="78" t="n">
        <v>1</v>
      </c>
      <c r="BF78" s="78" t="inlineStr">
        <is>
          <t>-</t>
        </is>
      </c>
    </row>
    <row r="79" ht="19.55" customHeight="1">
      <c r="A79" s="81" t="n">
        <v>76</v>
      </c>
      <c r="B79" s="76" t="inlineStr">
        <is>
          <t>全国</t>
        </is>
      </c>
      <c r="C79" s="82" t="n">
        <v>46131</v>
      </c>
      <c r="D79" s="76" t="inlineStr">
        <is>
          <t>天籁·鸿蒙座舱</t>
        </is>
      </c>
      <c r="E79" s="76" t="n">
        <v>3032</v>
      </c>
      <c r="F79" s="76" t="n">
        <v>2721</v>
      </c>
      <c r="G79" s="77" t="n">
        <v>0.8974274406332454</v>
      </c>
      <c r="H79" s="76" t="n">
        <v>1565</v>
      </c>
      <c r="I79" s="78" t="n">
        <v>0.5161609498680739</v>
      </c>
      <c r="J79" s="76" t="n">
        <v>3127</v>
      </c>
      <c r="K79" s="76" t="n">
        <v>3054</v>
      </c>
      <c r="L79" s="77" t="n">
        <v>0.977</v>
      </c>
      <c r="M79" s="76" t="n">
        <v>16463</v>
      </c>
      <c r="N79" s="76" t="n">
        <v>16714</v>
      </c>
      <c r="O79" s="76" t="n">
        <v>16264</v>
      </c>
      <c r="P79" s="77" t="n">
        <v>0.9879122881613315</v>
      </c>
      <c r="Q79" s="76" t="n">
        <v>30</v>
      </c>
      <c r="R79" s="76" t="n">
        <v>0</v>
      </c>
      <c r="S79" s="76" t="n">
        <v>0</v>
      </c>
      <c r="T79" s="77" t="n">
        <v>0</v>
      </c>
      <c r="U79" s="76" t="n">
        <v>0</v>
      </c>
      <c r="V79" s="77" t="n">
        <v>0</v>
      </c>
      <c r="W79" s="76" t="n">
        <v>2089</v>
      </c>
      <c r="X79" s="77" t="n">
        <v>0.6889841688654353</v>
      </c>
      <c r="Y79" s="76" t="n">
        <v>665</v>
      </c>
      <c r="Z79" s="79" t="n">
        <v>0.2193271767810026</v>
      </c>
      <c r="AA79" s="76" t="n">
        <v>64</v>
      </c>
      <c r="AB79" s="77" t="n">
        <v>0.02110817941952507</v>
      </c>
      <c r="AC79" s="76" t="n">
        <v>642</v>
      </c>
      <c r="AD79" s="77" t="n">
        <v>0.2117414248021108</v>
      </c>
      <c r="AE79" s="76" t="n">
        <v>59</v>
      </c>
      <c r="AF79" s="77" t="n">
        <v>0.09190031152647975</v>
      </c>
      <c r="AG79" s="76" t="n">
        <v>598</v>
      </c>
      <c r="AH79" s="77" t="n">
        <v>0.9314641744548287</v>
      </c>
      <c r="AI79" s="80" t="n">
        <v>634</v>
      </c>
      <c r="AJ79" s="77" t="n">
        <v>0.2091029023746702</v>
      </c>
      <c r="AK79" s="80" t="n">
        <v>0</v>
      </c>
      <c r="AL79" s="77" t="n">
        <v>0.9369085173501577</v>
      </c>
      <c r="AM79" s="80" t="n">
        <v>628</v>
      </c>
      <c r="AN79" s="80" t="n">
        <v>594</v>
      </c>
      <c r="AO79" s="77" t="n">
        <v>0.195910290237467</v>
      </c>
      <c r="AP79" s="77" t="n">
        <v>0.9252336448598131</v>
      </c>
      <c r="AQ79" s="78" t="n">
        <v>0.9771615008156607</v>
      </c>
      <c r="AR79" s="80" t="n">
        <v>0</v>
      </c>
      <c r="AS79" s="80" t="n">
        <v>0</v>
      </c>
      <c r="AT79" s="80" t="n">
        <v>136</v>
      </c>
      <c r="AU79" s="80" t="n">
        <v>129</v>
      </c>
      <c r="AV79" s="80" t="n">
        <v>128</v>
      </c>
      <c r="AW79" s="80" t="n">
        <v>59</v>
      </c>
      <c r="AX79" s="77" t="n">
        <v>0.04254617414248021</v>
      </c>
      <c r="AY79" s="77" t="n">
        <v>0.04221635883905013</v>
      </c>
      <c r="AZ79" s="77" t="n">
        <v>0.01945910290237467</v>
      </c>
      <c r="BA79" s="77" t="n">
        <v>0.2154882154882155</v>
      </c>
      <c r="BB79" s="80" t="n">
        <v>0</v>
      </c>
      <c r="BC79" s="80" t="n">
        <v>0</v>
      </c>
      <c r="BD79" s="78" t="n">
        <v>0.971830985915493</v>
      </c>
      <c r="BE79" s="78" t="n">
        <v>1</v>
      </c>
      <c r="BF79" s="78" t="inlineStr">
        <is>
          <t>-</t>
        </is>
      </c>
    </row>
    <row r="80" ht="19.55" customHeight="1">
      <c r="A80" s="81" t="n">
        <v>77</v>
      </c>
      <c r="B80" s="76" t="inlineStr">
        <is>
          <t>全国</t>
        </is>
      </c>
      <c r="C80" s="82" t="n">
        <v>46132</v>
      </c>
      <c r="D80" s="76" t="inlineStr">
        <is>
          <t>N6</t>
        </is>
      </c>
      <c r="E80" s="76" t="n">
        <v>2003</v>
      </c>
      <c r="F80" s="76" t="n">
        <v>1674</v>
      </c>
      <c r="G80" s="77" t="n">
        <v>0.835746380429356</v>
      </c>
      <c r="H80" s="76" t="n">
        <v>798</v>
      </c>
      <c r="I80" s="78" t="n">
        <v>0.3984023964053919</v>
      </c>
      <c r="J80" s="76" t="n">
        <v>1956</v>
      </c>
      <c r="K80" s="76" t="n">
        <v>1897</v>
      </c>
      <c r="L80" s="77" t="n">
        <v>0.97</v>
      </c>
      <c r="M80" s="76" t="n">
        <v>9623</v>
      </c>
      <c r="N80" s="76" t="n">
        <v>9217</v>
      </c>
      <c r="O80" s="76" t="n">
        <v>9485</v>
      </c>
      <c r="P80" s="77" t="n">
        <v>0.9856593577886315</v>
      </c>
      <c r="Q80" s="76" t="n">
        <v>29</v>
      </c>
      <c r="R80" s="76" t="n">
        <v>0</v>
      </c>
      <c r="S80" s="76" t="n">
        <v>0</v>
      </c>
      <c r="T80" s="77" t="n">
        <v>0</v>
      </c>
      <c r="U80" s="76" t="n">
        <v>0</v>
      </c>
      <c r="V80" s="77" t="n">
        <v>0</v>
      </c>
      <c r="W80" s="76" t="n">
        <v>1387</v>
      </c>
      <c r="X80" s="77" t="n">
        <v>0.692461308037943</v>
      </c>
      <c r="Y80" s="76" t="n">
        <v>401</v>
      </c>
      <c r="Z80" s="79" t="n">
        <v>0.200199700449326</v>
      </c>
      <c r="AA80" s="76" t="n">
        <v>36</v>
      </c>
      <c r="AB80" s="77" t="n">
        <v>0.01797304043934099</v>
      </c>
      <c r="AC80" s="76" t="n">
        <v>163</v>
      </c>
      <c r="AD80" s="77" t="n">
        <v>0.08137793310034948</v>
      </c>
      <c r="AE80" s="76" t="n">
        <v>40</v>
      </c>
      <c r="AF80" s="77" t="n">
        <v>0.245398773006135</v>
      </c>
      <c r="AG80" s="76" t="n">
        <v>153</v>
      </c>
      <c r="AH80" s="77" t="n">
        <v>0.9386503067484663</v>
      </c>
      <c r="AI80" s="80" t="n">
        <v>170</v>
      </c>
      <c r="AJ80" s="77" t="n">
        <v>0.08487269096355467</v>
      </c>
      <c r="AK80" s="80" t="n">
        <v>0</v>
      </c>
      <c r="AL80" s="77" t="n">
        <v>0.8764705882352941</v>
      </c>
      <c r="AM80" s="80" t="n">
        <v>170</v>
      </c>
      <c r="AN80" s="80" t="n">
        <v>149</v>
      </c>
      <c r="AO80" s="77" t="n">
        <v>0.07438841737393909</v>
      </c>
      <c r="AP80" s="77" t="n">
        <v>0.9141104294478528</v>
      </c>
      <c r="AQ80" s="78" t="n">
        <v>0.974025974025974</v>
      </c>
      <c r="AR80" s="80" t="n">
        <v>0</v>
      </c>
      <c r="AS80" s="80" t="n">
        <v>0</v>
      </c>
      <c r="AT80" s="80" t="n">
        <v>50</v>
      </c>
      <c r="AU80" s="80" t="n">
        <v>38</v>
      </c>
      <c r="AV80" s="80" t="n">
        <v>37</v>
      </c>
      <c r="AW80" s="80" t="n">
        <v>80</v>
      </c>
      <c r="AX80" s="77" t="n">
        <v>0.01897154268597104</v>
      </c>
      <c r="AY80" s="77" t="n">
        <v>0.01847229156265602</v>
      </c>
      <c r="AZ80" s="77" t="n">
        <v>0.0399400898652022</v>
      </c>
      <c r="BA80" s="77" t="n">
        <v>0.2483221476510067</v>
      </c>
      <c r="BB80" s="80" t="n">
        <v>0</v>
      </c>
      <c r="BC80" s="80" t="n">
        <v>0</v>
      </c>
      <c r="BD80" s="78" t="n">
        <v>1</v>
      </c>
      <c r="BE80" s="78" t="n">
        <v>1</v>
      </c>
      <c r="BF80" s="78" t="inlineStr">
        <is>
          <t>-</t>
        </is>
      </c>
    </row>
    <row r="81" ht="19.55" customHeight="1">
      <c r="A81" s="81" t="n">
        <v>78</v>
      </c>
      <c r="B81" s="76" t="inlineStr">
        <is>
          <t>全国</t>
        </is>
      </c>
      <c r="C81" s="82" t="n">
        <v>46132</v>
      </c>
      <c r="D81" s="76" t="inlineStr">
        <is>
          <t>N7</t>
        </is>
      </c>
      <c r="E81" s="76" t="n">
        <v>2091</v>
      </c>
      <c r="F81" s="76" t="n">
        <v>1832</v>
      </c>
      <c r="G81" s="77" t="n">
        <v>0.8761358201817312</v>
      </c>
      <c r="H81" s="76" t="n">
        <v>1050</v>
      </c>
      <c r="I81" s="78" t="n">
        <v>0.5021520803443329</v>
      </c>
      <c r="J81" s="76" t="n">
        <v>1833</v>
      </c>
      <c r="K81" s="76" t="n">
        <v>1786</v>
      </c>
      <c r="L81" s="77" t="n">
        <v>0.974</v>
      </c>
      <c r="M81" s="76" t="n">
        <v>9155</v>
      </c>
      <c r="N81" s="76" t="n">
        <v>8866</v>
      </c>
      <c r="O81" s="76" t="n">
        <v>9041</v>
      </c>
      <c r="P81" s="77" t="n">
        <v>0.9875477880939377</v>
      </c>
      <c r="Q81" s="76" t="n">
        <v>24</v>
      </c>
      <c r="R81" s="76" t="n">
        <v>0</v>
      </c>
      <c r="S81" s="76" t="n">
        <v>0</v>
      </c>
      <c r="T81" s="77" t="n">
        <v>0</v>
      </c>
      <c r="U81" s="76" t="n">
        <v>0</v>
      </c>
      <c r="V81" s="77" t="n">
        <v>0</v>
      </c>
      <c r="W81" s="76" t="n">
        <v>1468</v>
      </c>
      <c r="X81" s="77" t="n">
        <v>0.7020564323290291</v>
      </c>
      <c r="Y81" s="76" t="n">
        <v>494</v>
      </c>
      <c r="Z81" s="79" t="n">
        <v>0.2362505978000956</v>
      </c>
      <c r="AA81" s="76" t="n">
        <v>27</v>
      </c>
      <c r="AB81" s="77" t="n">
        <v>0.01291248206599713</v>
      </c>
      <c r="AC81" s="76" t="n">
        <v>196</v>
      </c>
      <c r="AD81" s="77" t="n">
        <v>0.0937350549976088</v>
      </c>
      <c r="AE81" s="76" t="n">
        <v>21</v>
      </c>
      <c r="AF81" s="77" t="n">
        <v>0.1071428571428571</v>
      </c>
      <c r="AG81" s="76" t="n">
        <v>184</v>
      </c>
      <c r="AH81" s="77" t="n">
        <v>0.9387755102040817</v>
      </c>
      <c r="AI81" s="80" t="n">
        <v>179</v>
      </c>
      <c r="AJ81" s="77" t="n">
        <v>0.08560497369679579</v>
      </c>
      <c r="AK81" s="80" t="n">
        <v>1</v>
      </c>
      <c r="AL81" s="77" t="n">
        <v>0.8715083798882681</v>
      </c>
      <c r="AM81" s="80" t="n">
        <v>179</v>
      </c>
      <c r="AN81" s="80" t="n">
        <v>156</v>
      </c>
      <c r="AO81" s="77" t="n">
        <v>0.07460545193687231</v>
      </c>
      <c r="AP81" s="77" t="n">
        <v>0.7959183673469388</v>
      </c>
      <c r="AQ81" s="78" t="n">
        <v>0.967741935483871</v>
      </c>
      <c r="AR81" s="80" t="n">
        <v>0</v>
      </c>
      <c r="AS81" s="80" t="n">
        <v>0</v>
      </c>
      <c r="AT81" s="80" t="n">
        <v>57</v>
      </c>
      <c r="AU81" s="80" t="n">
        <v>40</v>
      </c>
      <c r="AV81" s="80" t="n">
        <v>41</v>
      </c>
      <c r="AW81" s="80" t="n">
        <v>76</v>
      </c>
      <c r="AX81" s="77" t="n">
        <v>0.01912960306073649</v>
      </c>
      <c r="AY81" s="77" t="n">
        <v>0.0196078431372549</v>
      </c>
      <c r="AZ81" s="77" t="n">
        <v>0.03634624581539933</v>
      </c>
      <c r="BA81" s="77" t="n">
        <v>0.2628205128205128</v>
      </c>
      <c r="BB81" s="80" t="n">
        <v>0</v>
      </c>
      <c r="BC81" s="80" t="n">
        <v>0</v>
      </c>
      <c r="BD81" s="78" t="n">
        <v>1</v>
      </c>
      <c r="BE81" s="78" t="n">
        <v>1</v>
      </c>
      <c r="BF81" s="78" t="inlineStr">
        <is>
          <t>-</t>
        </is>
      </c>
    </row>
    <row r="82" ht="19.55" customHeight="1">
      <c r="A82" s="81" t="n">
        <v>79</v>
      </c>
      <c r="B82" s="76" t="inlineStr">
        <is>
          <t>全国</t>
        </is>
      </c>
      <c r="C82" s="82" t="n">
        <v>46132</v>
      </c>
      <c r="D82" s="76" t="inlineStr">
        <is>
          <t>NX8</t>
        </is>
      </c>
      <c r="E82" s="76" t="n">
        <v>6075</v>
      </c>
      <c r="F82" s="76" t="n">
        <v>5502</v>
      </c>
      <c r="G82" s="77" t="n">
        <v>0.905679012345679</v>
      </c>
      <c r="H82" s="76" t="n">
        <v>2301</v>
      </c>
      <c r="I82" s="78" t="n">
        <v>0.3787654320987655</v>
      </c>
      <c r="J82" s="76" t="n">
        <v>7757</v>
      </c>
      <c r="K82" s="76" t="n">
        <v>7551</v>
      </c>
      <c r="L82" s="77" t="n">
        <v>0.973</v>
      </c>
      <c r="M82" s="76" t="n">
        <v>28154</v>
      </c>
      <c r="N82" s="76" t="n">
        <v>25516</v>
      </c>
      <c r="O82" s="76" t="n">
        <v>27697</v>
      </c>
      <c r="P82" s="77" t="n">
        <v>0.9837678482631242</v>
      </c>
      <c r="Q82" s="76" t="n">
        <v>71</v>
      </c>
      <c r="R82" s="76" t="n">
        <v>0</v>
      </c>
      <c r="S82" s="76" t="n">
        <v>0</v>
      </c>
      <c r="T82" s="77" t="n">
        <v>0</v>
      </c>
      <c r="U82" s="76" t="n">
        <v>0</v>
      </c>
      <c r="V82" s="77" t="n">
        <v>0</v>
      </c>
      <c r="W82" s="76" t="n">
        <v>1278</v>
      </c>
      <c r="X82" s="77" t="n">
        <v>0.2103703703703704</v>
      </c>
      <c r="Y82" s="76" t="n">
        <v>1170</v>
      </c>
      <c r="Z82" s="79" t="n">
        <v>0.1925925925925926</v>
      </c>
      <c r="AA82" s="76" t="n">
        <v>10</v>
      </c>
      <c r="AB82" s="77" t="n">
        <v>0.001646090534979424</v>
      </c>
      <c r="AC82" s="76" t="n">
        <v>1138</v>
      </c>
      <c r="AD82" s="77" t="n">
        <v>0.1873251028806584</v>
      </c>
      <c r="AE82" s="76" t="n">
        <v>275</v>
      </c>
      <c r="AF82" s="77" t="n">
        <v>0.2416520210896309</v>
      </c>
      <c r="AG82" s="76" t="n">
        <v>1044</v>
      </c>
      <c r="AH82" s="77" t="n">
        <v>0.9173989455184535</v>
      </c>
      <c r="AI82" s="80" t="n">
        <v>1213</v>
      </c>
      <c r="AJ82" s="77" t="n">
        <v>0.1996707818930041</v>
      </c>
      <c r="AK82" s="80" t="n">
        <v>2</v>
      </c>
      <c r="AL82" s="77" t="n">
        <v>0.9060181368507831</v>
      </c>
      <c r="AM82" s="80" t="n">
        <v>1210</v>
      </c>
      <c r="AN82" s="80" t="n">
        <v>1099</v>
      </c>
      <c r="AO82" s="77" t="n">
        <v>0.1809053497942387</v>
      </c>
      <c r="AP82" s="77" t="n">
        <v>0.9657293497363796</v>
      </c>
      <c r="AQ82" s="78" t="n">
        <v>0.9694072657743786</v>
      </c>
      <c r="AR82" s="80" t="n">
        <v>0</v>
      </c>
      <c r="AS82" s="80" t="n">
        <v>0</v>
      </c>
      <c r="AT82" s="80" t="n">
        <v>130</v>
      </c>
      <c r="AU82" s="80" t="n">
        <v>106</v>
      </c>
      <c r="AV82" s="80" t="n">
        <v>121</v>
      </c>
      <c r="AW82" s="80" t="n">
        <v>57</v>
      </c>
      <c r="AX82" s="77" t="n">
        <v>0.01744855967078189</v>
      </c>
      <c r="AY82" s="77" t="n">
        <v>0.01991769547325103</v>
      </c>
      <c r="AZ82" s="77" t="n">
        <v>0.009382716049382716</v>
      </c>
      <c r="BA82" s="77" t="n">
        <v>0.1101000909918107</v>
      </c>
      <c r="BB82" s="80" t="n">
        <v>0</v>
      </c>
      <c r="BC82" s="80" t="n">
        <v>2</v>
      </c>
      <c r="BD82" s="78" t="n">
        <v>0.9606986899563319</v>
      </c>
      <c r="BE82" s="78" t="n">
        <v>1</v>
      </c>
      <c r="BF82" s="78" t="inlineStr">
        <is>
          <t>-</t>
        </is>
      </c>
    </row>
    <row r="83" ht="19.55" customHeight="1">
      <c r="A83" s="81" t="n">
        <v>80</v>
      </c>
      <c r="B83" s="76" t="inlineStr">
        <is>
          <t>全国</t>
        </is>
      </c>
      <c r="C83" s="82" t="n">
        <v>46132</v>
      </c>
      <c r="D83" s="76" t="inlineStr">
        <is>
          <t>天籁·鸿蒙座舱</t>
        </is>
      </c>
      <c r="E83" s="76" t="n">
        <v>2602</v>
      </c>
      <c r="F83" s="76" t="n">
        <v>2325</v>
      </c>
      <c r="G83" s="77" t="n">
        <v>0.893543428132206</v>
      </c>
      <c r="H83" s="76" t="n">
        <v>1523</v>
      </c>
      <c r="I83" s="78" t="n">
        <v>0.5853189853958494</v>
      </c>
      <c r="J83" s="76" t="n">
        <v>3748</v>
      </c>
      <c r="K83" s="76" t="n">
        <v>3669</v>
      </c>
      <c r="L83" s="77" t="n">
        <v>0.979</v>
      </c>
      <c r="M83" s="76" t="n">
        <v>17238</v>
      </c>
      <c r="N83" s="76" t="n">
        <v>16434</v>
      </c>
      <c r="O83" s="76" t="n">
        <v>16995</v>
      </c>
      <c r="P83" s="77" t="n">
        <v>0.9859032370344587</v>
      </c>
      <c r="Q83" s="76" t="n">
        <v>45</v>
      </c>
      <c r="R83" s="76" t="n">
        <v>0</v>
      </c>
      <c r="S83" s="76" t="n">
        <v>0</v>
      </c>
      <c r="T83" s="77" t="n">
        <v>0</v>
      </c>
      <c r="U83" s="76" t="n">
        <v>0</v>
      </c>
      <c r="V83" s="77" t="n">
        <v>0</v>
      </c>
      <c r="W83" s="76" t="n">
        <v>2018</v>
      </c>
      <c r="X83" s="77" t="n">
        <v>0.7755572636433513</v>
      </c>
      <c r="Y83" s="76" t="n">
        <v>582</v>
      </c>
      <c r="Z83" s="79" t="n">
        <v>0.223674096848578</v>
      </c>
      <c r="AA83" s="76" t="n">
        <v>83</v>
      </c>
      <c r="AB83" s="77" t="n">
        <v>0.03189853958493467</v>
      </c>
      <c r="AC83" s="76" t="n">
        <v>419</v>
      </c>
      <c r="AD83" s="77" t="n">
        <v>0.1610299769408148</v>
      </c>
      <c r="AE83" s="76" t="n">
        <v>55</v>
      </c>
      <c r="AF83" s="77" t="n">
        <v>0.1312649164677804</v>
      </c>
      <c r="AG83" s="76" t="n">
        <v>392</v>
      </c>
      <c r="AH83" s="77" t="n">
        <v>0.9355608591885441</v>
      </c>
      <c r="AI83" s="80" t="n">
        <v>420</v>
      </c>
      <c r="AJ83" s="77" t="n">
        <v>0.1614142966948501</v>
      </c>
      <c r="AK83" s="80" t="n">
        <v>0</v>
      </c>
      <c r="AL83" s="77" t="n">
        <v>0.9476190476190476</v>
      </c>
      <c r="AM83" s="80" t="n">
        <v>419</v>
      </c>
      <c r="AN83" s="80" t="n">
        <v>398</v>
      </c>
      <c r="AO83" s="77" t="n">
        <v>0.1529592621060722</v>
      </c>
      <c r="AP83" s="77" t="n">
        <v>0.9498806682577565</v>
      </c>
      <c r="AQ83" s="78" t="n">
        <v>0.9669421487603306</v>
      </c>
      <c r="AR83" s="80" t="n">
        <v>0</v>
      </c>
      <c r="AS83" s="80" t="n">
        <v>0</v>
      </c>
      <c r="AT83" s="80" t="n">
        <v>67</v>
      </c>
      <c r="AU83" s="80" t="n">
        <v>58</v>
      </c>
      <c r="AV83" s="80" t="n">
        <v>58</v>
      </c>
      <c r="AW83" s="80" t="n">
        <v>110</v>
      </c>
      <c r="AX83" s="77" t="n">
        <v>0.02229054573405073</v>
      </c>
      <c r="AY83" s="77" t="n">
        <v>0.02229054573405073</v>
      </c>
      <c r="AZ83" s="77" t="n">
        <v>0.04227517294388931</v>
      </c>
      <c r="BA83" s="77" t="n">
        <v>0.1457286432160804</v>
      </c>
      <c r="BB83" s="80" t="n">
        <v>0</v>
      </c>
      <c r="BC83" s="80" t="n">
        <v>0</v>
      </c>
      <c r="BD83" s="78" t="n">
        <v>1</v>
      </c>
      <c r="BE83" s="78" t="n">
        <v>1</v>
      </c>
      <c r="BF83" s="78" t="inlineStr">
        <is>
          <t>-</t>
        </is>
      </c>
    </row>
    <row r="84" ht="19.55" customHeight="1">
      <c r="A84" s="81" t="n">
        <v>81</v>
      </c>
      <c r="B84" s="76" t="inlineStr">
        <is>
          <t>全国</t>
        </is>
      </c>
      <c r="C84" s="82" t="n">
        <v>46133</v>
      </c>
      <c r="D84" s="76" t="inlineStr">
        <is>
          <t>N6</t>
        </is>
      </c>
      <c r="E84" s="76" t="n">
        <v>2084</v>
      </c>
      <c r="F84" s="76" t="n">
        <v>1749</v>
      </c>
      <c r="G84" s="77" t="n">
        <v>0.8392514395393474</v>
      </c>
      <c r="H84" s="76" t="n">
        <v>1050</v>
      </c>
      <c r="I84" s="78" t="n">
        <v>0.5038387715930902</v>
      </c>
      <c r="J84" s="76" t="n">
        <v>2235</v>
      </c>
      <c r="K84" s="76" t="n">
        <v>2168</v>
      </c>
      <c r="L84" s="77" t="n">
        <v>0.97</v>
      </c>
      <c r="M84" s="76" t="n">
        <v>8745</v>
      </c>
      <c r="N84" s="76" t="n">
        <v>8747</v>
      </c>
      <c r="O84" s="76" t="n">
        <v>8582</v>
      </c>
      <c r="P84" s="77" t="n">
        <v>0.9813607775871926</v>
      </c>
      <c r="Q84" s="76" t="n">
        <v>33</v>
      </c>
      <c r="R84" s="76" t="n">
        <v>0</v>
      </c>
      <c r="S84" s="76" t="n">
        <v>0</v>
      </c>
      <c r="T84" s="77" t="n">
        <v>0</v>
      </c>
      <c r="U84" s="76" t="n">
        <v>0</v>
      </c>
      <c r="V84" s="77" t="n">
        <v>0</v>
      </c>
      <c r="W84" s="76" t="n">
        <v>1290</v>
      </c>
      <c r="X84" s="77" t="n">
        <v>0.6190019193857965</v>
      </c>
      <c r="Y84" s="76" t="n">
        <v>464</v>
      </c>
      <c r="Z84" s="79" t="n">
        <v>0.2226487523992322</v>
      </c>
      <c r="AA84" s="76" t="n">
        <v>38</v>
      </c>
      <c r="AB84" s="77" t="n">
        <v>0.0182341650671785</v>
      </c>
      <c r="AC84" s="76" t="n">
        <v>188</v>
      </c>
      <c r="AD84" s="77" t="n">
        <v>0.09021113243761997</v>
      </c>
      <c r="AE84" s="76" t="n">
        <v>39</v>
      </c>
      <c r="AF84" s="77" t="n">
        <v>0.2074468085106383</v>
      </c>
      <c r="AG84" s="76" t="n">
        <v>160</v>
      </c>
      <c r="AH84" s="77" t="n">
        <v>0.851063829787234</v>
      </c>
      <c r="AI84" s="80" t="n">
        <v>176</v>
      </c>
      <c r="AJ84" s="77" t="n">
        <v>0.08445297504798464</v>
      </c>
      <c r="AK84" s="80" t="n">
        <v>0</v>
      </c>
      <c r="AL84" s="77" t="n">
        <v>0.8409090909090909</v>
      </c>
      <c r="AM84" s="80" t="n">
        <v>174</v>
      </c>
      <c r="AN84" s="80" t="n">
        <v>148</v>
      </c>
      <c r="AO84" s="77" t="n">
        <v>0.07101727447216891</v>
      </c>
      <c r="AP84" s="77" t="n">
        <v>0.7872340425531915</v>
      </c>
      <c r="AQ84" s="78" t="n">
        <v>0.98125</v>
      </c>
      <c r="AR84" s="80" t="n">
        <v>0</v>
      </c>
      <c r="AS84" s="80" t="n">
        <v>0</v>
      </c>
      <c r="AT84" s="80" t="n">
        <v>39</v>
      </c>
      <c r="AU84" s="80" t="n">
        <v>36</v>
      </c>
      <c r="AV84" s="80" t="n">
        <v>38</v>
      </c>
      <c r="AW84" s="80" t="n">
        <v>52</v>
      </c>
      <c r="AX84" s="77" t="n">
        <v>0.01727447216890595</v>
      </c>
      <c r="AY84" s="77" t="n">
        <v>0.0182341650671785</v>
      </c>
      <c r="AZ84" s="77" t="n">
        <v>0.02495201535508637</v>
      </c>
      <c r="BA84" s="77" t="n">
        <v>0.2567567567567567</v>
      </c>
      <c r="BB84" s="80" t="n">
        <v>0</v>
      </c>
      <c r="BC84" s="80" t="n">
        <v>0</v>
      </c>
      <c r="BD84" s="78" t="n">
        <v>1</v>
      </c>
      <c r="BE84" s="78" t="n">
        <v>1</v>
      </c>
      <c r="BF84" s="78" t="inlineStr">
        <is>
          <t>-</t>
        </is>
      </c>
    </row>
    <row r="85" ht="19.55" customHeight="1">
      <c r="A85" s="81" t="n">
        <v>82</v>
      </c>
      <c r="B85" s="76" t="inlineStr">
        <is>
          <t>全国</t>
        </is>
      </c>
      <c r="C85" s="82" t="n">
        <v>46133</v>
      </c>
      <c r="D85" s="76" t="inlineStr">
        <is>
          <t>N7</t>
        </is>
      </c>
      <c r="E85" s="76" t="n">
        <v>2174</v>
      </c>
      <c r="F85" s="76" t="n">
        <v>1884</v>
      </c>
      <c r="G85" s="77" t="n">
        <v>0.8666053357865685</v>
      </c>
      <c r="H85" s="76" t="n">
        <v>1130</v>
      </c>
      <c r="I85" s="78" t="n">
        <v>0.5197792088316467</v>
      </c>
      <c r="J85" s="76" t="n">
        <v>2341</v>
      </c>
      <c r="K85" s="76" t="n">
        <v>2284</v>
      </c>
      <c r="L85" s="77" t="n">
        <v>0.976</v>
      </c>
      <c r="M85" s="76" t="n">
        <v>9764</v>
      </c>
      <c r="N85" s="76" t="n">
        <v>9446</v>
      </c>
      <c r="O85" s="76" t="n">
        <v>9593</v>
      </c>
      <c r="P85" s="77" t="n">
        <v>0.9824866857845146</v>
      </c>
      <c r="Q85" s="76" t="n">
        <v>33</v>
      </c>
      <c r="R85" s="76" t="n">
        <v>0</v>
      </c>
      <c r="S85" s="76" t="n">
        <v>0</v>
      </c>
      <c r="T85" s="77" t="n">
        <v>0</v>
      </c>
      <c r="U85" s="76" t="n">
        <v>0</v>
      </c>
      <c r="V85" s="77" t="n">
        <v>0</v>
      </c>
      <c r="W85" s="76" t="n">
        <v>2882</v>
      </c>
      <c r="X85" s="77" t="n">
        <v>1.325666973321067</v>
      </c>
      <c r="Y85" s="76" t="n">
        <v>731</v>
      </c>
      <c r="Z85" s="79" t="n">
        <v>0.3362465501379945</v>
      </c>
      <c r="AA85" s="76" t="n">
        <v>17</v>
      </c>
      <c r="AB85" s="77" t="n">
        <v>0.0078196872125115</v>
      </c>
      <c r="AC85" s="76" t="n">
        <v>210</v>
      </c>
      <c r="AD85" s="77" t="n">
        <v>0.09659613615455381</v>
      </c>
      <c r="AE85" s="76" t="n">
        <v>31</v>
      </c>
      <c r="AF85" s="77" t="n">
        <v>0.1476190476190476</v>
      </c>
      <c r="AG85" s="76" t="n">
        <v>185</v>
      </c>
      <c r="AH85" s="77" t="n">
        <v>0.8809523809523809</v>
      </c>
      <c r="AI85" s="80" t="n">
        <v>192</v>
      </c>
      <c r="AJ85" s="77" t="n">
        <v>0.08831646734130635</v>
      </c>
      <c r="AK85" s="80" t="n">
        <v>0</v>
      </c>
      <c r="AL85" s="77" t="n">
        <v>0.859375</v>
      </c>
      <c r="AM85" s="80" t="n">
        <v>190</v>
      </c>
      <c r="AN85" s="80" t="n">
        <v>165</v>
      </c>
      <c r="AO85" s="77" t="n">
        <v>0.07589696412143514</v>
      </c>
      <c r="AP85" s="77" t="n">
        <v>0.7857142857142857</v>
      </c>
      <c r="AQ85" s="78" t="n">
        <v>0.9548387096774194</v>
      </c>
      <c r="AR85" s="80" t="n">
        <v>0</v>
      </c>
      <c r="AS85" s="80" t="n">
        <v>0</v>
      </c>
      <c r="AT85" s="80" t="n">
        <v>49</v>
      </c>
      <c r="AU85" s="80" t="n">
        <v>42</v>
      </c>
      <c r="AV85" s="80" t="n">
        <v>42</v>
      </c>
      <c r="AW85" s="80" t="n">
        <v>53</v>
      </c>
      <c r="AX85" s="77" t="n">
        <v>0.01931922723091076</v>
      </c>
      <c r="AY85" s="77" t="n">
        <v>0.01931922723091076</v>
      </c>
      <c r="AZ85" s="77" t="n">
        <v>0.02437902483900644</v>
      </c>
      <c r="BA85" s="77" t="n">
        <v>0.2545454545454545</v>
      </c>
      <c r="BB85" s="80" t="n">
        <v>0</v>
      </c>
      <c r="BC85" s="80" t="n">
        <v>0</v>
      </c>
      <c r="BD85" s="78" t="n">
        <v>0.9714285714285714</v>
      </c>
      <c r="BE85" s="78" t="n">
        <v>0.9473684210526315</v>
      </c>
      <c r="BF85" s="78" t="inlineStr">
        <is>
          <t>-</t>
        </is>
      </c>
    </row>
    <row r="86" ht="19.55" customHeight="1">
      <c r="A86" s="81" t="n">
        <v>83</v>
      </c>
      <c r="B86" s="76" t="inlineStr">
        <is>
          <t>全国</t>
        </is>
      </c>
      <c r="C86" s="82" t="n">
        <v>46133</v>
      </c>
      <c r="D86" s="76" t="inlineStr">
        <is>
          <t>NX8</t>
        </is>
      </c>
      <c r="E86" s="76" t="n">
        <v>6565</v>
      </c>
      <c r="F86" s="76" t="n">
        <v>5592</v>
      </c>
      <c r="G86" s="77" t="n">
        <v>0.8517897943640518</v>
      </c>
      <c r="H86" s="76" t="n">
        <v>2320</v>
      </c>
      <c r="I86" s="78" t="n">
        <v>0.3533891850723534</v>
      </c>
      <c r="J86" s="76" t="n">
        <v>5999</v>
      </c>
      <c r="K86" s="76" t="n">
        <v>5852</v>
      </c>
      <c r="L86" s="77" t="n">
        <v>0.975</v>
      </c>
      <c r="M86" s="76" t="n">
        <v>23968</v>
      </c>
      <c r="N86" s="76" t="n">
        <v>24557</v>
      </c>
      <c r="O86" s="76" t="n">
        <v>23601</v>
      </c>
      <c r="P86" s="77" t="n">
        <v>0.984687917222964</v>
      </c>
      <c r="Q86" s="76" t="n">
        <v>65</v>
      </c>
      <c r="R86" s="76" t="n">
        <v>0</v>
      </c>
      <c r="S86" s="76" t="n">
        <v>0</v>
      </c>
      <c r="T86" s="77" t="n">
        <v>0</v>
      </c>
      <c r="U86" s="76" t="n">
        <v>0</v>
      </c>
      <c r="V86" s="77" t="n">
        <v>0</v>
      </c>
      <c r="W86" s="76" t="n">
        <v>1525</v>
      </c>
      <c r="X86" s="77" t="n">
        <v>0.2322924600152323</v>
      </c>
      <c r="Y86" s="76" t="n">
        <v>1144</v>
      </c>
      <c r="Z86" s="79" t="n">
        <v>0.1742574257425742</v>
      </c>
      <c r="AA86" s="76" t="n">
        <v>17</v>
      </c>
      <c r="AB86" s="77" t="n">
        <v>0.002589489718202589</v>
      </c>
      <c r="AC86" s="76" t="n">
        <v>1136</v>
      </c>
      <c r="AD86" s="77" t="n">
        <v>0.173038842345773</v>
      </c>
      <c r="AE86" s="76" t="n">
        <v>285</v>
      </c>
      <c r="AF86" s="77" t="n">
        <v>0.2508802816901409</v>
      </c>
      <c r="AG86" s="76" t="n">
        <v>1010</v>
      </c>
      <c r="AH86" s="77" t="n">
        <v>0.8890845070422535</v>
      </c>
      <c r="AI86" s="80" t="n">
        <v>1191</v>
      </c>
      <c r="AJ86" s="77" t="n">
        <v>0.1814166031987814</v>
      </c>
      <c r="AK86" s="80" t="n">
        <v>2</v>
      </c>
      <c r="AL86" s="77" t="n">
        <v>0.9210747271200672</v>
      </c>
      <c r="AM86" s="80" t="n">
        <v>1188</v>
      </c>
      <c r="AN86" s="80" t="n">
        <v>1097</v>
      </c>
      <c r="AO86" s="77" t="n">
        <v>0.1670982482863671</v>
      </c>
      <c r="AP86" s="77" t="n">
        <v>0.965669014084507</v>
      </c>
      <c r="AQ86" s="78" t="n">
        <v>0.972972972972973</v>
      </c>
      <c r="AR86" s="80" t="n">
        <v>0</v>
      </c>
      <c r="AS86" s="80" t="n">
        <v>0</v>
      </c>
      <c r="AT86" s="80" t="n">
        <v>120</v>
      </c>
      <c r="AU86" s="80" t="n">
        <v>116</v>
      </c>
      <c r="AV86" s="80" t="n">
        <v>117</v>
      </c>
      <c r="AW86" s="80" t="n">
        <v>65</v>
      </c>
      <c r="AX86" s="77" t="n">
        <v>0.01766945925361767</v>
      </c>
      <c r="AY86" s="77" t="n">
        <v>0.01782178217821782</v>
      </c>
      <c r="AZ86" s="77" t="n">
        <v>0.009900990099009901</v>
      </c>
      <c r="BA86" s="77" t="n">
        <v>0.1066545123062899</v>
      </c>
      <c r="BB86" s="80" t="n">
        <v>0</v>
      </c>
      <c r="BC86" s="80" t="n">
        <v>0</v>
      </c>
      <c r="BD86" s="78" t="n">
        <v>0.9902912621359223</v>
      </c>
      <c r="BE86" s="78" t="n">
        <v>0.9666666666666667</v>
      </c>
      <c r="BF86" s="78" t="inlineStr">
        <is>
          <t>-</t>
        </is>
      </c>
    </row>
    <row r="87" ht="19.55" customHeight="1">
      <c r="A87" s="81" t="n">
        <v>84</v>
      </c>
      <c r="B87" s="76" t="inlineStr">
        <is>
          <t>全国</t>
        </is>
      </c>
      <c r="C87" s="82" t="n">
        <v>46133</v>
      </c>
      <c r="D87" s="76" t="inlineStr">
        <is>
          <t>天籁·鸿蒙座舱</t>
        </is>
      </c>
      <c r="E87" s="76" t="n">
        <v>2975</v>
      </c>
      <c r="F87" s="76" t="n">
        <v>2610</v>
      </c>
      <c r="G87" s="77" t="n">
        <v>0.8773109243697479</v>
      </c>
      <c r="H87" s="76" t="n">
        <v>2021</v>
      </c>
      <c r="I87" s="78" t="n">
        <v>0.6793277310924369</v>
      </c>
      <c r="J87" s="76" t="n">
        <v>2738</v>
      </c>
      <c r="K87" s="76" t="n">
        <v>2672</v>
      </c>
      <c r="L87" s="77" t="n">
        <v>0.976</v>
      </c>
      <c r="M87" s="76" t="n">
        <v>14557</v>
      </c>
      <c r="N87" s="76" t="n">
        <v>14504</v>
      </c>
      <c r="O87" s="76" t="n">
        <v>14373</v>
      </c>
      <c r="P87" s="77" t="n">
        <v>0.987360032973827</v>
      </c>
      <c r="Q87" s="76" t="n">
        <v>41</v>
      </c>
      <c r="R87" s="76" t="n">
        <v>0</v>
      </c>
      <c r="S87" s="76" t="n">
        <v>0</v>
      </c>
      <c r="T87" s="77" t="n">
        <v>0</v>
      </c>
      <c r="U87" s="76" t="n">
        <v>0</v>
      </c>
      <c r="V87" s="77" t="n">
        <v>0</v>
      </c>
      <c r="W87" s="76" t="n">
        <v>2098</v>
      </c>
      <c r="X87" s="77" t="n">
        <v>0.7052100840336134</v>
      </c>
      <c r="Y87" s="76" t="n">
        <v>779</v>
      </c>
      <c r="Z87" s="79" t="n">
        <v>0.2618487394957983</v>
      </c>
      <c r="AA87" s="76" t="n">
        <v>95</v>
      </c>
      <c r="AB87" s="77" t="n">
        <v>0.0319327731092437</v>
      </c>
      <c r="AC87" s="76" t="n">
        <v>401</v>
      </c>
      <c r="AD87" s="77" t="n">
        <v>0.1347899159663866</v>
      </c>
      <c r="AE87" s="76" t="n">
        <v>57</v>
      </c>
      <c r="AF87" s="77" t="n">
        <v>0.14214463840399</v>
      </c>
      <c r="AG87" s="76" t="n">
        <v>370</v>
      </c>
      <c r="AH87" s="77" t="n">
        <v>0.9226932668329177</v>
      </c>
      <c r="AI87" s="80" t="n">
        <v>408</v>
      </c>
      <c r="AJ87" s="77" t="n">
        <v>0.1371428571428571</v>
      </c>
      <c r="AK87" s="80" t="n">
        <v>1</v>
      </c>
      <c r="AL87" s="77" t="n">
        <v>0.9338235294117647</v>
      </c>
      <c r="AM87" s="80" t="n">
        <v>405</v>
      </c>
      <c r="AN87" s="80" t="n">
        <v>381</v>
      </c>
      <c r="AO87" s="77" t="n">
        <v>0.1280672268907563</v>
      </c>
      <c r="AP87" s="77" t="n">
        <v>0.9501246882793017</v>
      </c>
      <c r="AQ87" s="78" t="n">
        <v>0.963855421686747</v>
      </c>
      <c r="AR87" s="80" t="n">
        <v>0</v>
      </c>
      <c r="AS87" s="80" t="n">
        <v>0</v>
      </c>
      <c r="AT87" s="80" t="n">
        <v>50</v>
      </c>
      <c r="AU87" s="80" t="n">
        <v>41</v>
      </c>
      <c r="AV87" s="80" t="n">
        <v>46</v>
      </c>
      <c r="AW87" s="80" t="n">
        <v>95</v>
      </c>
      <c r="AX87" s="77" t="n">
        <v>0.01378151260504202</v>
      </c>
      <c r="AY87" s="77" t="n">
        <v>0.01546218487394958</v>
      </c>
      <c r="AZ87" s="77" t="n">
        <v>0.0319327731092437</v>
      </c>
      <c r="BA87" s="77" t="n">
        <v>0.1207349081364829</v>
      </c>
      <c r="BB87" s="80" t="n">
        <v>0</v>
      </c>
      <c r="BC87" s="80" t="n">
        <v>0</v>
      </c>
      <c r="BD87" s="78" t="n">
        <v>0.9827586206896551</v>
      </c>
      <c r="BE87" s="78" t="n">
        <v>1</v>
      </c>
      <c r="BF87" s="78" t="inlineStr">
        <is>
          <t>-</t>
        </is>
      </c>
    </row>
    <row r="88" ht="19.55" customHeight="1">
      <c r="A88" s="81" t="n">
        <v>85</v>
      </c>
      <c r="B88" s="76" t="inlineStr">
        <is>
          <t>全国</t>
        </is>
      </c>
      <c r="C88" s="82" t="n">
        <v>46134</v>
      </c>
      <c r="D88" s="76" t="inlineStr">
        <is>
          <t>N6</t>
        </is>
      </c>
      <c r="E88" s="76" t="n">
        <v>2345</v>
      </c>
      <c r="F88" s="76" t="n">
        <v>2021</v>
      </c>
      <c r="G88" s="77" t="n">
        <v>0.8618336886993604</v>
      </c>
      <c r="H88" s="76" t="n">
        <v>932</v>
      </c>
      <c r="I88" s="78" t="n">
        <v>0.3974413646055437</v>
      </c>
      <c r="J88" s="76" t="n">
        <v>2087</v>
      </c>
      <c r="K88" s="76" t="n">
        <v>2026</v>
      </c>
      <c r="L88" s="77" t="n">
        <v>0.971</v>
      </c>
      <c r="M88" s="76" t="n">
        <v>8879</v>
      </c>
      <c r="N88" s="76" t="n">
        <v>8733</v>
      </c>
      <c r="O88" s="76" t="n">
        <v>8723</v>
      </c>
      <c r="P88" s="77" t="n">
        <v>0.9824304538799414</v>
      </c>
      <c r="Q88" s="76" t="n">
        <v>26</v>
      </c>
      <c r="R88" s="76" t="n">
        <v>0</v>
      </c>
      <c r="S88" s="76" t="n">
        <v>0</v>
      </c>
      <c r="T88" s="77" t="n">
        <v>0</v>
      </c>
      <c r="U88" s="76" t="n">
        <v>0</v>
      </c>
      <c r="V88" s="77" t="n">
        <v>0</v>
      </c>
      <c r="W88" s="76" t="n">
        <v>1018</v>
      </c>
      <c r="X88" s="77" t="n">
        <v>0.4341151385927505</v>
      </c>
      <c r="Y88" s="76" t="n">
        <v>760</v>
      </c>
      <c r="Z88" s="79" t="n">
        <v>0.3240938166311301</v>
      </c>
      <c r="AA88" s="76" t="n">
        <v>28</v>
      </c>
      <c r="AB88" s="77" t="n">
        <v>0.01194029850746269</v>
      </c>
      <c r="AC88" s="76" t="n">
        <v>162</v>
      </c>
      <c r="AD88" s="77" t="n">
        <v>0.06908315565031983</v>
      </c>
      <c r="AE88" s="76" t="n">
        <v>35</v>
      </c>
      <c r="AF88" s="77" t="n">
        <v>0.2160493827160494</v>
      </c>
      <c r="AG88" s="76" t="n">
        <v>143</v>
      </c>
      <c r="AH88" s="77" t="n">
        <v>0.8827160493827161</v>
      </c>
      <c r="AI88" s="80" t="n">
        <v>162</v>
      </c>
      <c r="AJ88" s="77" t="n">
        <v>0.06908315565031983</v>
      </c>
      <c r="AK88" s="80" t="n">
        <v>0</v>
      </c>
      <c r="AL88" s="77" t="n">
        <v>0.8209876543209876</v>
      </c>
      <c r="AM88" s="80" t="n">
        <v>161</v>
      </c>
      <c r="AN88" s="80" t="n">
        <v>133</v>
      </c>
      <c r="AO88" s="77" t="n">
        <v>0.05671641791044776</v>
      </c>
      <c r="AP88" s="77" t="n">
        <v>0.8209876543209876</v>
      </c>
      <c r="AQ88" s="78" t="n">
        <v>0.9817073170731707</v>
      </c>
      <c r="AR88" s="80" t="n">
        <v>0</v>
      </c>
      <c r="AS88" s="80" t="n">
        <v>0</v>
      </c>
      <c r="AT88" s="80" t="n">
        <v>47</v>
      </c>
      <c r="AU88" s="80" t="n">
        <v>44</v>
      </c>
      <c r="AV88" s="80" t="n">
        <v>43</v>
      </c>
      <c r="AW88" s="80" t="n">
        <v>59</v>
      </c>
      <c r="AX88" s="77" t="n">
        <v>0.01876332622601279</v>
      </c>
      <c r="AY88" s="77" t="n">
        <v>0.01833688699360341</v>
      </c>
      <c r="AZ88" s="77" t="n">
        <v>0.02515991471215352</v>
      </c>
      <c r="BA88" s="77" t="n">
        <v>0.3233082706766917</v>
      </c>
      <c r="BB88" s="80" t="n">
        <v>0</v>
      </c>
      <c r="BC88" s="80" t="n">
        <v>1</v>
      </c>
      <c r="BD88" s="78" t="n">
        <v>0.9166666666666666</v>
      </c>
      <c r="BE88" s="78" t="n">
        <v>1</v>
      </c>
      <c r="BF88" s="78" t="inlineStr">
        <is>
          <t>-</t>
        </is>
      </c>
    </row>
    <row r="89" ht="25.6" customHeight="1">
      <c r="A89" s="81" t="n">
        <v>86</v>
      </c>
      <c r="B89" s="76" t="inlineStr">
        <is>
          <t>全国</t>
        </is>
      </c>
      <c r="C89" s="82" t="n">
        <v>46134</v>
      </c>
      <c r="D89" s="76" t="inlineStr">
        <is>
          <t>N7</t>
        </is>
      </c>
      <c r="E89" s="76" t="n">
        <v>2227</v>
      </c>
      <c r="F89" s="76" t="n">
        <v>1936</v>
      </c>
      <c r="G89" s="77" t="n">
        <v>0.8693309384822632</v>
      </c>
      <c r="H89" s="76" t="n">
        <v>1283</v>
      </c>
      <c r="I89" s="78" t="n">
        <v>0.5761113605747643</v>
      </c>
      <c r="J89" s="76" t="n">
        <v>1424</v>
      </c>
      <c r="K89" s="76" t="n">
        <v>1379</v>
      </c>
      <c r="L89" s="77" t="n">
        <v>0.968</v>
      </c>
      <c r="M89" s="76" t="n">
        <v>8391</v>
      </c>
      <c r="N89" s="76" t="n">
        <v>8257</v>
      </c>
      <c r="O89" s="76" t="n">
        <v>8247</v>
      </c>
      <c r="P89" s="77" t="n">
        <v>0.9828387558097962</v>
      </c>
      <c r="Q89" s="76" t="n">
        <v>26</v>
      </c>
      <c r="R89" s="76" t="n">
        <v>0</v>
      </c>
      <c r="S89" s="76" t="n">
        <v>0</v>
      </c>
      <c r="T89" s="77" t="n">
        <v>0</v>
      </c>
      <c r="U89" s="76" t="n">
        <v>0</v>
      </c>
      <c r="V89" s="77" t="n">
        <v>0</v>
      </c>
      <c r="W89" s="76" t="n">
        <v>1655</v>
      </c>
      <c r="X89" s="77" t="n">
        <v>0.7431522227211496</v>
      </c>
      <c r="Y89" s="76" t="n">
        <v>5623</v>
      </c>
      <c r="Z89" s="79" t="n">
        <v>2.524921418949259</v>
      </c>
      <c r="AA89" s="76" t="n">
        <v>16</v>
      </c>
      <c r="AB89" s="77" t="n">
        <v>0.007184553210597216</v>
      </c>
      <c r="AC89" s="76" t="n">
        <v>206</v>
      </c>
      <c r="AD89" s="77" t="n">
        <v>0.09250112258643915</v>
      </c>
      <c r="AE89" s="76" t="n">
        <v>31</v>
      </c>
      <c r="AF89" s="77" t="n">
        <v>0.1504854368932039</v>
      </c>
      <c r="AG89" s="76" t="n">
        <v>184</v>
      </c>
      <c r="AH89" s="77" t="n">
        <v>0.8932038834951457</v>
      </c>
      <c r="AI89" s="80" t="n">
        <v>180</v>
      </c>
      <c r="AJ89" s="77" t="n">
        <v>0.08082622361921868</v>
      </c>
      <c r="AK89" s="80" t="n">
        <v>0</v>
      </c>
      <c r="AL89" s="77" t="n">
        <v>0.8722222222222222</v>
      </c>
      <c r="AM89" s="80" t="n">
        <v>180</v>
      </c>
      <c r="AN89" s="80" t="n">
        <v>157</v>
      </c>
      <c r="AO89" s="77" t="n">
        <v>0.07049842837898518</v>
      </c>
      <c r="AP89" s="77" t="n">
        <v>0.7621359223300971</v>
      </c>
      <c r="AQ89" s="78" t="n">
        <v>0.9942857142857143</v>
      </c>
      <c r="AR89" s="80" t="n">
        <v>0</v>
      </c>
      <c r="AS89" s="80" t="n">
        <v>0</v>
      </c>
      <c r="AT89" s="80" t="n">
        <v>53</v>
      </c>
      <c r="AU89" s="80" t="n">
        <v>47</v>
      </c>
      <c r="AV89" s="80" t="n">
        <v>46</v>
      </c>
      <c r="AW89" s="80" t="n">
        <v>68</v>
      </c>
      <c r="AX89" s="77" t="n">
        <v>0.02110462505612932</v>
      </c>
      <c r="AY89" s="77" t="n">
        <v>0.020655590480467</v>
      </c>
      <c r="AZ89" s="77" t="n">
        <v>0.03053435114503817</v>
      </c>
      <c r="BA89" s="77" t="n">
        <v>0.2929936305732484</v>
      </c>
      <c r="BB89" s="80" t="n">
        <v>0</v>
      </c>
      <c r="BC89" s="80" t="n">
        <v>0</v>
      </c>
      <c r="BD89" s="78" t="n">
        <v>1</v>
      </c>
      <c r="BE89" s="78" t="n">
        <v>1</v>
      </c>
      <c r="BF89" s="78" t="inlineStr">
        <is>
          <t>-</t>
        </is>
      </c>
    </row>
    <row r="90" ht="19.55" customHeight="1">
      <c r="A90" s="81" t="n">
        <v>87</v>
      </c>
      <c r="B90" s="76" t="inlineStr">
        <is>
          <t>全国</t>
        </is>
      </c>
      <c r="C90" s="82" t="n">
        <v>46134</v>
      </c>
      <c r="D90" s="76" t="inlineStr">
        <is>
          <t>NX8</t>
        </is>
      </c>
      <c r="E90" s="76" t="n">
        <v>6735</v>
      </c>
      <c r="F90" s="76" t="n">
        <v>5945</v>
      </c>
      <c r="G90" s="77" t="n">
        <v>0.882702301410542</v>
      </c>
      <c r="H90" s="76" t="n">
        <v>2641</v>
      </c>
      <c r="I90" s="78" t="n">
        <v>0.3921306607275427</v>
      </c>
      <c r="J90" s="76" t="n">
        <v>6787</v>
      </c>
      <c r="K90" s="76" t="n">
        <v>6626</v>
      </c>
      <c r="L90" s="77" t="n">
        <v>0.976</v>
      </c>
      <c r="M90" s="76" t="n">
        <v>25530</v>
      </c>
      <c r="N90" s="76" t="n">
        <v>25030</v>
      </c>
      <c r="O90" s="76" t="n">
        <v>25117</v>
      </c>
      <c r="P90" s="77" t="n">
        <v>0.9838229533881708</v>
      </c>
      <c r="Q90" s="76" t="n">
        <v>45</v>
      </c>
      <c r="R90" s="76" t="n">
        <v>0</v>
      </c>
      <c r="S90" s="76" t="n">
        <v>0</v>
      </c>
      <c r="T90" s="77" t="n">
        <v>0</v>
      </c>
      <c r="U90" s="76" t="n">
        <v>0</v>
      </c>
      <c r="V90" s="77" t="n">
        <v>0</v>
      </c>
      <c r="W90" s="76" t="n">
        <v>1435</v>
      </c>
      <c r="X90" s="77" t="n">
        <v>0.2130660727542688</v>
      </c>
      <c r="Y90" s="76" t="n">
        <v>988</v>
      </c>
      <c r="Z90" s="79" t="n">
        <v>0.1466963622865627</v>
      </c>
      <c r="AA90" s="76" t="n">
        <v>15</v>
      </c>
      <c r="AB90" s="77" t="n">
        <v>0.0022271714922049</v>
      </c>
      <c r="AC90" s="76" t="n">
        <v>1119</v>
      </c>
      <c r="AD90" s="77" t="n">
        <v>0.1661469933184855</v>
      </c>
      <c r="AE90" s="76" t="n">
        <v>290</v>
      </c>
      <c r="AF90" s="77" t="n">
        <v>0.2591599642537981</v>
      </c>
      <c r="AG90" s="76" t="n">
        <v>1003</v>
      </c>
      <c r="AH90" s="77" t="n">
        <v>0.8963360142984808</v>
      </c>
      <c r="AI90" s="80" t="n">
        <v>1213</v>
      </c>
      <c r="AJ90" s="77" t="n">
        <v>0.1801039346696362</v>
      </c>
      <c r="AK90" s="80" t="n">
        <v>5</v>
      </c>
      <c r="AL90" s="77" t="n">
        <v>0.9068425391591096</v>
      </c>
      <c r="AM90" s="80" t="n">
        <v>1207</v>
      </c>
      <c r="AN90" s="80" t="n">
        <v>1100</v>
      </c>
      <c r="AO90" s="77" t="n">
        <v>0.1633259094283593</v>
      </c>
      <c r="AP90" s="77" t="n">
        <v>0.9830205540661304</v>
      </c>
      <c r="AQ90" s="78" t="n">
        <v>0.9752770673486786</v>
      </c>
      <c r="AR90" s="80" t="n">
        <v>0</v>
      </c>
      <c r="AS90" s="80" t="n">
        <v>0</v>
      </c>
      <c r="AT90" s="80" t="n">
        <v>144</v>
      </c>
      <c r="AU90" s="80" t="n">
        <v>135</v>
      </c>
      <c r="AV90" s="80" t="n">
        <v>139</v>
      </c>
      <c r="AW90" s="80" t="n">
        <v>75</v>
      </c>
      <c r="AX90" s="77" t="n">
        <v>0.0200445434298441</v>
      </c>
      <c r="AY90" s="77" t="n">
        <v>0.0206384558277654</v>
      </c>
      <c r="AZ90" s="77" t="n">
        <v>0.0111358574610245</v>
      </c>
      <c r="BA90" s="77" t="n">
        <v>0.1263636363636364</v>
      </c>
      <c r="BB90" s="80" t="n">
        <v>0</v>
      </c>
      <c r="BC90" s="80" t="n">
        <v>0</v>
      </c>
      <c r="BD90" s="78" t="n">
        <v>0.9848484848484849</v>
      </c>
      <c r="BE90" s="78" t="n">
        <v>1</v>
      </c>
      <c r="BF90" s="78" t="inlineStr">
        <is>
          <t>-</t>
        </is>
      </c>
    </row>
    <row r="91" ht="19.55" customHeight="1">
      <c r="A91" s="81" t="n">
        <v>88</v>
      </c>
      <c r="B91" s="76" t="inlineStr">
        <is>
          <t>全国</t>
        </is>
      </c>
      <c r="C91" s="82" t="n">
        <v>46134</v>
      </c>
      <c r="D91" s="76" t="inlineStr">
        <is>
          <t>天籁·鸿蒙座舱</t>
        </is>
      </c>
      <c r="E91" s="76" t="n">
        <v>2609</v>
      </c>
      <c r="F91" s="76" t="n">
        <v>2316</v>
      </c>
      <c r="G91" s="77" t="n">
        <v>0.8876964354158682</v>
      </c>
      <c r="H91" s="76" t="n">
        <v>1551</v>
      </c>
      <c r="I91" s="78" t="n">
        <v>0.5944806439248754</v>
      </c>
      <c r="J91" s="76" t="n">
        <v>3828</v>
      </c>
      <c r="K91" s="76" t="n">
        <v>3777</v>
      </c>
      <c r="L91" s="77" t="n">
        <v>0.987</v>
      </c>
      <c r="M91" s="76" t="n">
        <v>15808</v>
      </c>
      <c r="N91" s="76" t="n">
        <v>15424</v>
      </c>
      <c r="O91" s="76" t="n">
        <v>15582</v>
      </c>
      <c r="P91" s="77" t="n">
        <v>0.9857034412955465</v>
      </c>
      <c r="Q91" s="76" t="n">
        <v>45</v>
      </c>
      <c r="R91" s="76" t="n">
        <v>0</v>
      </c>
      <c r="S91" s="76" t="n">
        <v>0</v>
      </c>
      <c r="T91" s="77" t="n">
        <v>0</v>
      </c>
      <c r="U91" s="76" t="n">
        <v>0</v>
      </c>
      <c r="V91" s="77" t="n">
        <v>0</v>
      </c>
      <c r="W91" s="76" t="n">
        <v>1856</v>
      </c>
      <c r="X91" s="77" t="n">
        <v>0.7113836719049444</v>
      </c>
      <c r="Y91" s="76" t="n">
        <v>978</v>
      </c>
      <c r="Z91" s="79" t="n">
        <v>0.374856266768877</v>
      </c>
      <c r="AA91" s="76" t="n">
        <v>83</v>
      </c>
      <c r="AB91" s="77" t="n">
        <v>0.03181295515523189</v>
      </c>
      <c r="AC91" s="76" t="n">
        <v>419</v>
      </c>
      <c r="AD91" s="77" t="n">
        <v>0.1605979302414718</v>
      </c>
      <c r="AE91" s="76" t="n">
        <v>65</v>
      </c>
      <c r="AF91" s="77" t="n">
        <v>0.1551312649164678</v>
      </c>
      <c r="AG91" s="76" t="n">
        <v>385</v>
      </c>
      <c r="AH91" s="77" t="n">
        <v>0.918854415274463</v>
      </c>
      <c r="AI91" s="80" t="n">
        <v>419</v>
      </c>
      <c r="AJ91" s="77" t="n">
        <v>0.1605979302414718</v>
      </c>
      <c r="AK91" s="80" t="n">
        <v>0</v>
      </c>
      <c r="AL91" s="77" t="n">
        <v>0.9451073985680191</v>
      </c>
      <c r="AM91" s="80" t="n">
        <v>415</v>
      </c>
      <c r="AN91" s="80" t="n">
        <v>396</v>
      </c>
      <c r="AO91" s="77" t="n">
        <v>0.1517822920659256</v>
      </c>
      <c r="AP91" s="77" t="n">
        <v>0.9451073985680191</v>
      </c>
      <c r="AQ91" s="78" t="n">
        <v>0.9895561357702349</v>
      </c>
      <c r="AR91" s="80" t="n">
        <v>0</v>
      </c>
      <c r="AS91" s="80" t="n">
        <v>0</v>
      </c>
      <c r="AT91" s="80" t="n">
        <v>59</v>
      </c>
      <c r="AU91" s="80" t="n">
        <v>52</v>
      </c>
      <c r="AV91" s="80" t="n">
        <v>54</v>
      </c>
      <c r="AW91" s="80" t="n">
        <v>152</v>
      </c>
      <c r="AX91" s="77" t="n">
        <v>0.01993100804906094</v>
      </c>
      <c r="AY91" s="77" t="n">
        <v>0.02069758528171713</v>
      </c>
      <c r="AZ91" s="77" t="n">
        <v>0.05825986968187045</v>
      </c>
      <c r="BA91" s="77" t="n">
        <v>0.1363636363636364</v>
      </c>
      <c r="BB91" s="80" t="n">
        <v>0</v>
      </c>
      <c r="BC91" s="80" t="n">
        <v>1</v>
      </c>
      <c r="BD91" s="78" t="n">
        <v>0.9803921568627451</v>
      </c>
      <c r="BE91" s="78" t="n">
        <v>0.8947368421052632</v>
      </c>
      <c r="BF91" s="78" t="inlineStr">
        <is>
          <t>-</t>
        </is>
      </c>
    </row>
    <row r="92" ht="19.55" customHeight="1">
      <c r="A92" s="81" t="n">
        <v>89</v>
      </c>
      <c r="B92" s="76" t="inlineStr">
        <is>
          <t>全国</t>
        </is>
      </c>
      <c r="C92" s="82" t="n">
        <v>46135</v>
      </c>
      <c r="D92" s="76" t="inlineStr">
        <is>
          <t>N6</t>
        </is>
      </c>
      <c r="E92" s="76" t="n">
        <v>2358</v>
      </c>
      <c r="F92" s="76" t="n">
        <v>2065</v>
      </c>
      <c r="G92" s="77" t="n">
        <v>0.8757421543681085</v>
      </c>
      <c r="H92" s="76" t="n">
        <v>1127</v>
      </c>
      <c r="I92" s="78" t="n">
        <v>0.4779474130619169</v>
      </c>
      <c r="J92" s="76" t="n">
        <v>1717</v>
      </c>
      <c r="K92" s="76" t="n">
        <v>1666</v>
      </c>
      <c r="L92" s="77" t="n">
        <v>0.97</v>
      </c>
      <c r="M92" s="76" t="n">
        <v>8455</v>
      </c>
      <c r="N92" s="76" t="n">
        <v>8417</v>
      </c>
      <c r="O92" s="76" t="n">
        <v>8306</v>
      </c>
      <c r="P92" s="77" t="n">
        <v>0.9823772915434654</v>
      </c>
      <c r="Q92" s="76" t="n">
        <v>36</v>
      </c>
      <c r="R92" s="76" t="n">
        <v>0</v>
      </c>
      <c r="S92" s="76" t="n">
        <v>0</v>
      </c>
      <c r="T92" s="77" t="n">
        <v>0</v>
      </c>
      <c r="U92" s="76" t="n">
        <v>0</v>
      </c>
      <c r="V92" s="77" t="n">
        <v>0</v>
      </c>
      <c r="W92" s="76" t="n">
        <v>2243</v>
      </c>
      <c r="X92" s="77" t="n">
        <v>0.9512298558100085</v>
      </c>
      <c r="Y92" s="76" t="n">
        <v>554</v>
      </c>
      <c r="Z92" s="79" t="n">
        <v>0.2349448685326548</v>
      </c>
      <c r="AA92" s="76" t="n">
        <v>51</v>
      </c>
      <c r="AB92" s="77" t="n">
        <v>0.02162849872773537</v>
      </c>
      <c r="AC92" s="76" t="n">
        <v>170</v>
      </c>
      <c r="AD92" s="77" t="n">
        <v>0.0720949957591179</v>
      </c>
      <c r="AE92" s="76" t="n">
        <v>39</v>
      </c>
      <c r="AF92" s="77" t="n">
        <v>0.2294117647058823</v>
      </c>
      <c r="AG92" s="76" t="n">
        <v>144</v>
      </c>
      <c r="AH92" s="77" t="n">
        <v>0.8470588235294118</v>
      </c>
      <c r="AI92" s="80" t="n">
        <v>175</v>
      </c>
      <c r="AJ92" s="77" t="n">
        <v>0.07421543681085666</v>
      </c>
      <c r="AK92" s="80" t="n">
        <v>0</v>
      </c>
      <c r="AL92" s="77" t="n">
        <v>0.8685714285714285</v>
      </c>
      <c r="AM92" s="80" t="n">
        <v>172</v>
      </c>
      <c r="AN92" s="80" t="n">
        <v>152</v>
      </c>
      <c r="AO92" s="77" t="n">
        <v>0.06446140797285835</v>
      </c>
      <c r="AP92" s="77" t="n">
        <v>0.8941176470588236</v>
      </c>
      <c r="AQ92" s="78" t="n">
        <v>0.9662162162162162</v>
      </c>
      <c r="AR92" s="80" t="n">
        <v>0</v>
      </c>
      <c r="AS92" s="80" t="n">
        <v>0</v>
      </c>
      <c r="AT92" s="80" t="n">
        <v>48</v>
      </c>
      <c r="AU92" s="80" t="n">
        <v>42</v>
      </c>
      <c r="AV92" s="80" t="n">
        <v>45</v>
      </c>
      <c r="AW92" s="80" t="n">
        <v>53</v>
      </c>
      <c r="AX92" s="77" t="n">
        <v>0.0178117048346056</v>
      </c>
      <c r="AY92" s="77" t="n">
        <v>0.01908396946564886</v>
      </c>
      <c r="AZ92" s="77" t="n">
        <v>0.02247667514843087</v>
      </c>
      <c r="BA92" s="77" t="n">
        <v>0.2960526315789473</v>
      </c>
      <c r="BB92" s="80" t="n">
        <v>0</v>
      </c>
      <c r="BC92" s="80" t="n">
        <v>0</v>
      </c>
      <c r="BD92" s="78" t="n">
        <v>1</v>
      </c>
      <c r="BE92" s="78" t="n">
        <v>1</v>
      </c>
      <c r="BF92" s="78" t="inlineStr">
        <is>
          <t>-</t>
        </is>
      </c>
    </row>
    <row r="93" ht="25.6" customHeight="1">
      <c r="A93" s="81" t="n">
        <v>90</v>
      </c>
      <c r="B93" s="76" t="inlineStr">
        <is>
          <t>全国</t>
        </is>
      </c>
      <c r="C93" s="82" t="n">
        <v>46135</v>
      </c>
      <c r="D93" s="76" t="inlineStr">
        <is>
          <t>N7</t>
        </is>
      </c>
      <c r="E93" s="76" t="n">
        <v>1844</v>
      </c>
      <c r="F93" s="76" t="n">
        <v>1598</v>
      </c>
      <c r="G93" s="77" t="n">
        <v>0.8665943600867679</v>
      </c>
      <c r="H93" s="76" t="n">
        <v>947</v>
      </c>
      <c r="I93" s="78" t="n">
        <v>0.5135574837310195</v>
      </c>
      <c r="J93" s="76" t="n">
        <v>2332</v>
      </c>
      <c r="K93" s="76" t="n">
        <v>2283</v>
      </c>
      <c r="L93" s="77" t="n">
        <v>0.979</v>
      </c>
      <c r="M93" s="76" t="n">
        <v>9219</v>
      </c>
      <c r="N93" s="76" t="n">
        <v>9244</v>
      </c>
      <c r="O93" s="76" t="n">
        <v>9061</v>
      </c>
      <c r="P93" s="77" t="n">
        <v>0.9828614817225295</v>
      </c>
      <c r="Q93" s="76" t="n">
        <v>54</v>
      </c>
      <c r="R93" s="76" t="n">
        <v>0</v>
      </c>
      <c r="S93" s="76" t="n">
        <v>0</v>
      </c>
      <c r="T93" s="77" t="n">
        <v>0</v>
      </c>
      <c r="U93" s="76" t="n">
        <v>0</v>
      </c>
      <c r="V93" s="77" t="n">
        <v>0</v>
      </c>
      <c r="W93" s="76" t="n">
        <v>2433</v>
      </c>
      <c r="X93" s="77" t="n">
        <v>1.31941431670282</v>
      </c>
      <c r="Y93" s="76" t="n">
        <v>1906</v>
      </c>
      <c r="Z93" s="79" t="n">
        <v>1.033622559652928</v>
      </c>
      <c r="AA93" s="76" t="n">
        <v>20</v>
      </c>
      <c r="AB93" s="77" t="n">
        <v>0.01084598698481562</v>
      </c>
      <c r="AC93" s="76" t="n">
        <v>175</v>
      </c>
      <c r="AD93" s="77" t="n">
        <v>0.09490238611713665</v>
      </c>
      <c r="AE93" s="76" t="n">
        <v>40</v>
      </c>
      <c r="AF93" s="77" t="n">
        <v>0.2285714285714286</v>
      </c>
      <c r="AG93" s="76" t="n">
        <v>162</v>
      </c>
      <c r="AH93" s="77" t="n">
        <v>0.9257142857142857</v>
      </c>
      <c r="AI93" s="80" t="n">
        <v>172</v>
      </c>
      <c r="AJ93" s="77" t="n">
        <v>0.09327548806941431</v>
      </c>
      <c r="AK93" s="80" t="n">
        <v>0</v>
      </c>
      <c r="AL93" s="77" t="n">
        <v>0.7616279069767442</v>
      </c>
      <c r="AM93" s="80" t="n">
        <v>167</v>
      </c>
      <c r="AN93" s="80" t="n">
        <v>131</v>
      </c>
      <c r="AO93" s="77" t="n">
        <v>0.0710412147505423</v>
      </c>
      <c r="AP93" s="77" t="n">
        <v>0.7485714285714286</v>
      </c>
      <c r="AQ93" s="78" t="n">
        <v>0.9763313609467456</v>
      </c>
      <c r="AR93" s="80" t="n">
        <v>0</v>
      </c>
      <c r="AS93" s="80" t="n">
        <v>0</v>
      </c>
      <c r="AT93" s="80" t="n">
        <v>52</v>
      </c>
      <c r="AU93" s="80" t="n">
        <v>42</v>
      </c>
      <c r="AV93" s="80" t="n">
        <v>43</v>
      </c>
      <c r="AW93" s="80" t="n">
        <v>49</v>
      </c>
      <c r="AX93" s="77" t="n">
        <v>0.0227765726681128</v>
      </c>
      <c r="AY93" s="77" t="n">
        <v>0.02331887201735358</v>
      </c>
      <c r="AZ93" s="77" t="n">
        <v>0.02657266811279826</v>
      </c>
      <c r="BA93" s="77" t="n">
        <v>0.3282442748091603</v>
      </c>
      <c r="BB93" s="80" t="n">
        <v>0</v>
      </c>
      <c r="BC93" s="80" t="n">
        <v>0</v>
      </c>
      <c r="BD93" s="78" t="n">
        <v>1</v>
      </c>
      <c r="BE93" s="78" t="n">
        <v>1</v>
      </c>
      <c r="BF93" s="78" t="inlineStr">
        <is>
          <t>-</t>
        </is>
      </c>
    </row>
    <row r="94" ht="25.6" customHeight="1">
      <c r="A94" s="81" t="n">
        <v>91</v>
      </c>
      <c r="B94" s="76" t="inlineStr">
        <is>
          <t>全国</t>
        </is>
      </c>
      <c r="C94" s="82" t="n">
        <v>46135</v>
      </c>
      <c r="D94" s="76" t="inlineStr">
        <is>
          <t>NX8</t>
        </is>
      </c>
      <c r="E94" s="76" t="n">
        <v>6959</v>
      </c>
      <c r="F94" s="76" t="n">
        <v>6206</v>
      </c>
      <c r="G94" s="77" t="n">
        <v>0.8917947981031757</v>
      </c>
      <c r="H94" s="76" t="n">
        <v>2096</v>
      </c>
      <c r="I94" s="78" t="n">
        <v>0.3011927001005892</v>
      </c>
      <c r="J94" s="76" t="n">
        <v>5944</v>
      </c>
      <c r="K94" s="76" t="n">
        <v>5798</v>
      </c>
      <c r="L94" s="77" t="n">
        <v>0.975</v>
      </c>
      <c r="M94" s="76" t="n">
        <v>24066</v>
      </c>
      <c r="N94" s="76" t="n">
        <v>24047</v>
      </c>
      <c r="O94" s="76" t="n">
        <v>23665</v>
      </c>
      <c r="P94" s="77" t="n">
        <v>0.9833374885730907</v>
      </c>
      <c r="Q94" s="76" t="n">
        <v>74</v>
      </c>
      <c r="R94" s="76" t="n">
        <v>0</v>
      </c>
      <c r="S94" s="76" t="n">
        <v>0</v>
      </c>
      <c r="T94" s="77" t="n">
        <v>0</v>
      </c>
      <c r="U94" s="76" t="n">
        <v>0</v>
      </c>
      <c r="V94" s="77" t="n">
        <v>0</v>
      </c>
      <c r="W94" s="76" t="n">
        <v>1583</v>
      </c>
      <c r="X94" s="77" t="n">
        <v>0.2274752119557408</v>
      </c>
      <c r="Y94" s="76" t="n">
        <v>12105</v>
      </c>
      <c r="Z94" s="79" t="n">
        <v>1.739474062365282</v>
      </c>
      <c r="AA94" s="76" t="n">
        <v>13</v>
      </c>
      <c r="AB94" s="77" t="n">
        <v>0.001868084494898692</v>
      </c>
      <c r="AC94" s="76" t="n">
        <v>1179</v>
      </c>
      <c r="AD94" s="77" t="n">
        <v>0.1694208938065814</v>
      </c>
      <c r="AE94" s="76" t="n">
        <v>274</v>
      </c>
      <c r="AF94" s="77" t="n">
        <v>0.2324003392705683</v>
      </c>
      <c r="AG94" s="76" t="n">
        <v>1052</v>
      </c>
      <c r="AH94" s="77" t="n">
        <v>0.8922815945716709</v>
      </c>
      <c r="AI94" s="80" t="n">
        <v>1242</v>
      </c>
      <c r="AJ94" s="77" t="n">
        <v>0.1784739186664751</v>
      </c>
      <c r="AK94" s="80" t="n">
        <v>9</v>
      </c>
      <c r="AL94" s="77" t="n">
        <v>0.9146537842190016</v>
      </c>
      <c r="AM94" s="80" t="n">
        <v>1238</v>
      </c>
      <c r="AN94" s="80" t="n">
        <v>1136</v>
      </c>
      <c r="AO94" s="77" t="n">
        <v>0.1632418450926857</v>
      </c>
      <c r="AP94" s="77" t="n">
        <v>0.9635284139100933</v>
      </c>
      <c r="AQ94" s="78" t="n">
        <v>0.9726729291204099</v>
      </c>
      <c r="AR94" s="80" t="n">
        <v>0</v>
      </c>
      <c r="AS94" s="80" t="n">
        <v>0</v>
      </c>
      <c r="AT94" s="80" t="n">
        <v>117</v>
      </c>
      <c r="AU94" s="80" t="n">
        <v>107</v>
      </c>
      <c r="AV94" s="80" t="n">
        <v>111</v>
      </c>
      <c r="AW94" s="80" t="n">
        <v>60</v>
      </c>
      <c r="AX94" s="77" t="n">
        <v>0.01537577238108924</v>
      </c>
      <c r="AY94" s="77" t="n">
        <v>0.01595056761028884</v>
      </c>
      <c r="AZ94" s="77" t="n">
        <v>0.008621928437993965</v>
      </c>
      <c r="BA94" s="77" t="n">
        <v>0.0977112676056338</v>
      </c>
      <c r="BB94" s="80" t="n">
        <v>0</v>
      </c>
      <c r="BC94" s="80" t="n">
        <v>0</v>
      </c>
      <c r="BD94" s="78" t="n">
        <v>0.9886363636363636</v>
      </c>
      <c r="BE94" s="78" t="n">
        <v>1</v>
      </c>
      <c r="BF94" s="78" t="inlineStr">
        <is>
          <t>-</t>
        </is>
      </c>
    </row>
    <row r="95" ht="19.55" customHeight="1">
      <c r="A95" s="81" t="n">
        <v>92</v>
      </c>
      <c r="B95" s="76" t="inlineStr">
        <is>
          <t>全国</t>
        </is>
      </c>
      <c r="C95" s="82" t="n">
        <v>46135</v>
      </c>
      <c r="D95" s="76" t="inlineStr">
        <is>
          <t>天籁·鸿蒙座舱</t>
        </is>
      </c>
      <c r="E95" s="76" t="n">
        <v>3078</v>
      </c>
      <c r="F95" s="76" t="n">
        <v>2711</v>
      </c>
      <c r="G95" s="77" t="n">
        <v>0.8807667316439246</v>
      </c>
      <c r="H95" s="76" t="n">
        <v>1912</v>
      </c>
      <c r="I95" s="78" t="n">
        <v>0.6211825860948668</v>
      </c>
      <c r="J95" s="76" t="n">
        <v>3458</v>
      </c>
      <c r="K95" s="76" t="n">
        <v>3385</v>
      </c>
      <c r="L95" s="77" t="n">
        <v>0.979</v>
      </c>
      <c r="M95" s="76" t="n">
        <v>15363</v>
      </c>
      <c r="N95" s="76" t="n">
        <v>15337</v>
      </c>
      <c r="O95" s="76" t="n">
        <v>15128</v>
      </c>
      <c r="P95" s="77" t="n">
        <v>0.9847035084293432</v>
      </c>
      <c r="Q95" s="76" t="n">
        <v>41</v>
      </c>
      <c r="R95" s="76" t="n">
        <v>0</v>
      </c>
      <c r="S95" s="76" t="n">
        <v>0</v>
      </c>
      <c r="T95" s="77" t="n">
        <v>0</v>
      </c>
      <c r="U95" s="76" t="n">
        <v>0</v>
      </c>
      <c r="V95" s="77" t="n">
        <v>0</v>
      </c>
      <c r="W95" s="76" t="n">
        <v>3349</v>
      </c>
      <c r="X95" s="77" t="n">
        <v>1.088044184535413</v>
      </c>
      <c r="Y95" s="76" t="n">
        <v>871</v>
      </c>
      <c r="Z95" s="79" t="n">
        <v>0.2829759584145549</v>
      </c>
      <c r="AA95" s="76" t="n">
        <v>104</v>
      </c>
      <c r="AB95" s="77" t="n">
        <v>0.03378817413905133</v>
      </c>
      <c r="AC95" s="76" t="n">
        <v>423</v>
      </c>
      <c r="AD95" s="77" t="n">
        <v>0.1374269005847953</v>
      </c>
      <c r="AE95" s="76" t="n">
        <v>68</v>
      </c>
      <c r="AF95" s="77" t="n">
        <v>0.1607565011820331</v>
      </c>
      <c r="AG95" s="76" t="n">
        <v>392</v>
      </c>
      <c r="AH95" s="77" t="n">
        <v>0.9267139479905437</v>
      </c>
      <c r="AI95" s="80" t="n">
        <v>430</v>
      </c>
      <c r="AJ95" s="77" t="n">
        <v>0.1397011046133853</v>
      </c>
      <c r="AK95" s="80" t="n">
        <v>0</v>
      </c>
      <c r="AL95" s="77" t="n">
        <v>0.9116279069767442</v>
      </c>
      <c r="AM95" s="80" t="n">
        <v>419</v>
      </c>
      <c r="AN95" s="80" t="n">
        <v>392</v>
      </c>
      <c r="AO95" s="77" t="n">
        <v>0.1273554256010396</v>
      </c>
      <c r="AP95" s="77" t="n">
        <v>0.9267139479905437</v>
      </c>
      <c r="AQ95" s="78" t="n">
        <v>0.9527363184079602</v>
      </c>
      <c r="AR95" s="80" t="n">
        <v>0</v>
      </c>
      <c r="AS95" s="80" t="n">
        <v>0</v>
      </c>
      <c r="AT95" s="80" t="n">
        <v>52</v>
      </c>
      <c r="AU95" s="80" t="n">
        <v>51</v>
      </c>
      <c r="AV95" s="80" t="n">
        <v>50</v>
      </c>
      <c r="AW95" s="80" t="n">
        <v>90</v>
      </c>
      <c r="AX95" s="77" t="n">
        <v>0.01656920077972709</v>
      </c>
      <c r="AY95" s="77" t="n">
        <v>0.01624431448992852</v>
      </c>
      <c r="AZ95" s="77" t="n">
        <v>0.02923976608187134</v>
      </c>
      <c r="BA95" s="77" t="n">
        <v>0.1275510204081633</v>
      </c>
      <c r="BB95" s="80" t="n">
        <v>0</v>
      </c>
      <c r="BC95" s="80" t="n">
        <v>0</v>
      </c>
      <c r="BD95" s="78" t="n">
        <v>1</v>
      </c>
      <c r="BE95" s="78" t="n">
        <v>1</v>
      </c>
      <c r="BF95" s="78" t="inlineStr">
        <is>
          <t>-</t>
        </is>
      </c>
    </row>
    <row r="96" ht="19.55" customHeight="1">
      <c r="A96" s="81" t="n">
        <v>93</v>
      </c>
      <c r="B96" s="76" t="inlineStr">
        <is>
          <t>全国</t>
        </is>
      </c>
      <c r="C96" s="82" t="n">
        <v>46136</v>
      </c>
      <c r="D96" s="76" t="inlineStr">
        <is>
          <t>N6</t>
        </is>
      </c>
      <c r="E96" s="76" t="n">
        <v>3026</v>
      </c>
      <c r="F96" s="76" t="n">
        <v>2532</v>
      </c>
      <c r="G96" s="77" t="n">
        <v>0.836748182419035</v>
      </c>
      <c r="H96" s="76" t="n">
        <v>1819</v>
      </c>
      <c r="I96" s="78" t="n">
        <v>0.601123595505618</v>
      </c>
      <c r="J96" s="76" t="n">
        <v>3917</v>
      </c>
      <c r="K96" s="76" t="n">
        <v>3775</v>
      </c>
      <c r="L96" s="77" t="n">
        <v>0.964</v>
      </c>
      <c r="M96" s="76" t="n">
        <v>11259</v>
      </c>
      <c r="N96" s="76" t="n">
        <v>11767</v>
      </c>
      <c r="O96" s="76" t="n">
        <v>11025</v>
      </c>
      <c r="P96" s="77" t="n">
        <v>0.9792166266986411</v>
      </c>
      <c r="Q96" s="76" t="n">
        <v>38</v>
      </c>
      <c r="R96" s="76" t="n">
        <v>0</v>
      </c>
      <c r="S96" s="76" t="n">
        <v>0</v>
      </c>
      <c r="T96" s="77" t="n">
        <v>0</v>
      </c>
      <c r="U96" s="76" t="n">
        <v>0</v>
      </c>
      <c r="V96" s="77" t="n">
        <v>0</v>
      </c>
      <c r="W96" s="76" t="n">
        <v>4998</v>
      </c>
      <c r="X96" s="77" t="n">
        <v>1.651685393258427</v>
      </c>
      <c r="Y96" s="76" t="n">
        <v>625</v>
      </c>
      <c r="Z96" s="79" t="n">
        <v>0.2065432914738929</v>
      </c>
      <c r="AA96" s="76" t="n">
        <v>37</v>
      </c>
      <c r="AB96" s="77" t="n">
        <v>0.01222736285525446</v>
      </c>
      <c r="AC96" s="76" t="n">
        <v>191</v>
      </c>
      <c r="AD96" s="77" t="n">
        <v>0.06311962987442168</v>
      </c>
      <c r="AE96" s="76" t="n">
        <v>44</v>
      </c>
      <c r="AF96" s="77" t="n">
        <v>0.2303664921465969</v>
      </c>
      <c r="AG96" s="76" t="n">
        <v>162</v>
      </c>
      <c r="AH96" s="77" t="n">
        <v>0.8481675392670157</v>
      </c>
      <c r="AI96" s="80" t="n">
        <v>196</v>
      </c>
      <c r="AJ96" s="77" t="n">
        <v>0.06477197620621282</v>
      </c>
      <c r="AK96" s="80" t="n">
        <v>0</v>
      </c>
      <c r="AL96" s="77" t="n">
        <v>0.8367346938775511</v>
      </c>
      <c r="AM96" s="80" t="n">
        <v>188</v>
      </c>
      <c r="AN96" s="80" t="n">
        <v>164</v>
      </c>
      <c r="AO96" s="77" t="n">
        <v>0.05419695968274951</v>
      </c>
      <c r="AP96" s="77" t="n">
        <v>0.8586387434554974</v>
      </c>
      <c r="AQ96" s="78" t="n">
        <v>0.9668874172185431</v>
      </c>
      <c r="AR96" s="80" t="n">
        <v>0</v>
      </c>
      <c r="AS96" s="80" t="n">
        <v>0</v>
      </c>
      <c r="AT96" s="80" t="n">
        <v>37</v>
      </c>
      <c r="AU96" s="80" t="n">
        <v>34</v>
      </c>
      <c r="AV96" s="80" t="n">
        <v>31</v>
      </c>
      <c r="AW96" s="80" t="n">
        <v>74</v>
      </c>
      <c r="AX96" s="77" t="n">
        <v>0.01123595505617977</v>
      </c>
      <c r="AY96" s="77" t="n">
        <v>0.01024454725710509</v>
      </c>
      <c r="AZ96" s="77" t="n">
        <v>0.02445472571050892</v>
      </c>
      <c r="BA96" s="77" t="n">
        <v>0.1890243902439024</v>
      </c>
      <c r="BB96" s="80" t="n">
        <v>0</v>
      </c>
      <c r="BC96" s="80" t="n">
        <v>0</v>
      </c>
      <c r="BD96" s="78" t="n">
        <v>1</v>
      </c>
      <c r="BE96" s="78" t="n">
        <v>1</v>
      </c>
      <c r="BF96" s="78" t="inlineStr">
        <is>
          <t>-</t>
        </is>
      </c>
    </row>
    <row r="97" ht="19.55" customHeight="1">
      <c r="A97" s="81" t="n">
        <v>94</v>
      </c>
      <c r="B97" s="76" t="inlineStr">
        <is>
          <t>全国</t>
        </is>
      </c>
      <c r="C97" s="82" t="n">
        <v>46136</v>
      </c>
      <c r="D97" s="76" t="inlineStr">
        <is>
          <t>N7</t>
        </is>
      </c>
      <c r="E97" s="76" t="n">
        <v>1968</v>
      </c>
      <c r="F97" s="76" t="n">
        <v>1712</v>
      </c>
      <c r="G97" s="77" t="n">
        <v>0.8699186991869918</v>
      </c>
      <c r="H97" s="76" t="n">
        <v>707</v>
      </c>
      <c r="I97" s="78" t="n">
        <v>0.3592479674796748</v>
      </c>
      <c r="J97" s="76" t="n">
        <v>1589</v>
      </c>
      <c r="K97" s="76" t="n">
        <v>1435</v>
      </c>
      <c r="L97" s="77" t="n">
        <v>0.903</v>
      </c>
      <c r="M97" s="76" t="n">
        <v>8985</v>
      </c>
      <c r="N97" s="76" t="n">
        <v>9309</v>
      </c>
      <c r="O97" s="76" t="n">
        <v>8711</v>
      </c>
      <c r="P97" s="77" t="n">
        <v>0.9695047301057318</v>
      </c>
      <c r="Q97" s="76" t="n">
        <v>25</v>
      </c>
      <c r="R97" s="76" t="n">
        <v>0</v>
      </c>
      <c r="S97" s="76" t="n">
        <v>0</v>
      </c>
      <c r="T97" s="77" t="n">
        <v>0</v>
      </c>
      <c r="U97" s="76" t="n">
        <v>0</v>
      </c>
      <c r="V97" s="77" t="n">
        <v>0</v>
      </c>
      <c r="W97" s="76" t="n">
        <v>5197</v>
      </c>
      <c r="X97" s="77" t="n">
        <v>2.640752032520325</v>
      </c>
      <c r="Y97" s="76" t="n">
        <v>687</v>
      </c>
      <c r="Z97" s="79" t="n">
        <v>0.3490853658536585</v>
      </c>
      <c r="AA97" s="76" t="n">
        <v>24</v>
      </c>
      <c r="AB97" s="77" t="n">
        <v>0.01219512195121951</v>
      </c>
      <c r="AC97" s="76" t="n">
        <v>189</v>
      </c>
      <c r="AD97" s="77" t="n">
        <v>0.09603658536585366</v>
      </c>
      <c r="AE97" s="76" t="n">
        <v>35</v>
      </c>
      <c r="AF97" s="77" t="n">
        <v>0.1851851851851852</v>
      </c>
      <c r="AG97" s="76" t="n">
        <v>172</v>
      </c>
      <c r="AH97" s="77" t="n">
        <v>0.91005291005291</v>
      </c>
      <c r="AI97" s="80" t="n">
        <v>177</v>
      </c>
      <c r="AJ97" s="77" t="n">
        <v>0.0899390243902439</v>
      </c>
      <c r="AK97" s="80" t="n">
        <v>0</v>
      </c>
      <c r="AL97" s="77" t="n">
        <v>0.8248587570621468</v>
      </c>
      <c r="AM97" s="80" t="n">
        <v>168</v>
      </c>
      <c r="AN97" s="80" t="n">
        <v>146</v>
      </c>
      <c r="AO97" s="77" t="n">
        <v>0.0741869918699187</v>
      </c>
      <c r="AP97" s="77" t="n">
        <v>0.7724867724867724</v>
      </c>
      <c r="AQ97" s="78" t="n">
        <v>0.9606741573033708</v>
      </c>
      <c r="AR97" s="80" t="n">
        <v>0</v>
      </c>
      <c r="AS97" s="80" t="n">
        <v>0</v>
      </c>
      <c r="AT97" s="80" t="n">
        <v>43</v>
      </c>
      <c r="AU97" s="80" t="n">
        <v>37</v>
      </c>
      <c r="AV97" s="80" t="n">
        <v>34</v>
      </c>
      <c r="AW97" s="80" t="n">
        <v>55</v>
      </c>
      <c r="AX97" s="77" t="n">
        <v>0.01880081300813008</v>
      </c>
      <c r="AY97" s="77" t="n">
        <v>0.01727642276422764</v>
      </c>
      <c r="AZ97" s="77" t="n">
        <v>0.02794715447154471</v>
      </c>
      <c r="BA97" s="77" t="n">
        <v>0.2328767123287671</v>
      </c>
      <c r="BB97" s="80" t="n">
        <v>0</v>
      </c>
      <c r="BC97" s="80" t="n">
        <v>0</v>
      </c>
      <c r="BD97" s="78" t="n">
        <v>1</v>
      </c>
      <c r="BE97" s="78" t="n">
        <v>0.9090909090909091</v>
      </c>
      <c r="BF97" s="78" t="inlineStr">
        <is>
          <t>-</t>
        </is>
      </c>
    </row>
    <row r="98" ht="19.55" customHeight="1">
      <c r="A98" s="81" t="n">
        <v>95</v>
      </c>
      <c r="B98" s="76" t="inlineStr">
        <is>
          <t>全国</t>
        </is>
      </c>
      <c r="C98" s="82" t="n">
        <v>46136</v>
      </c>
      <c r="D98" s="76" t="inlineStr">
        <is>
          <t>NX8</t>
        </is>
      </c>
      <c r="E98" s="76" t="n">
        <v>7007</v>
      </c>
      <c r="F98" s="76" t="n">
        <v>6243</v>
      </c>
      <c r="G98" s="77" t="n">
        <v>0.8909661766804624</v>
      </c>
      <c r="H98" s="76" t="n">
        <v>1657</v>
      </c>
      <c r="I98" s="78" t="n">
        <v>0.2364778079063793</v>
      </c>
      <c r="J98" s="76" t="n">
        <v>5161</v>
      </c>
      <c r="K98" s="76" t="n">
        <v>4971</v>
      </c>
      <c r="L98" s="77" t="n">
        <v>0.963</v>
      </c>
      <c r="M98" s="76" t="n">
        <v>24586</v>
      </c>
      <c r="N98" s="76" t="n">
        <v>26019</v>
      </c>
      <c r="O98" s="76" t="n">
        <v>24201</v>
      </c>
      <c r="P98" s="77" t="n">
        <v>0.984340681688766</v>
      </c>
      <c r="Q98" s="76" t="n">
        <v>44</v>
      </c>
      <c r="R98" s="76" t="n">
        <v>0</v>
      </c>
      <c r="S98" s="76" t="n">
        <v>0</v>
      </c>
      <c r="T98" s="77" t="n">
        <v>0</v>
      </c>
      <c r="U98" s="76" t="n">
        <v>0</v>
      </c>
      <c r="V98" s="77" t="n">
        <v>0</v>
      </c>
      <c r="W98" s="76" t="n">
        <v>2080</v>
      </c>
      <c r="X98" s="77" t="n">
        <v>0.2968460111317254</v>
      </c>
      <c r="Y98" s="76" t="n">
        <v>1651</v>
      </c>
      <c r="Z98" s="79" t="n">
        <v>0.235621521335807</v>
      </c>
      <c r="AA98" s="76" t="n">
        <v>5</v>
      </c>
      <c r="AB98" s="77" t="n">
        <v>0.0007135721421435707</v>
      </c>
      <c r="AC98" s="76" t="n">
        <v>1178</v>
      </c>
      <c r="AD98" s="77" t="n">
        <v>0.1681175966890253</v>
      </c>
      <c r="AE98" s="76" t="n">
        <v>273</v>
      </c>
      <c r="AF98" s="77" t="n">
        <v>0.231748726655348</v>
      </c>
      <c r="AG98" s="76" t="n">
        <v>1028</v>
      </c>
      <c r="AH98" s="77" t="n">
        <v>0.8726655348047538</v>
      </c>
      <c r="AI98" s="80" t="n">
        <v>1240</v>
      </c>
      <c r="AJ98" s="77" t="n">
        <v>0.1769658912516055</v>
      </c>
      <c r="AK98" s="80" t="n">
        <v>6</v>
      </c>
      <c r="AL98" s="77" t="n">
        <v>0.9137096774193548</v>
      </c>
      <c r="AM98" s="80" t="n">
        <v>1226</v>
      </c>
      <c r="AN98" s="80" t="n">
        <v>1133</v>
      </c>
      <c r="AO98" s="77" t="n">
        <v>0.1616954474097331</v>
      </c>
      <c r="AP98" s="77" t="n">
        <v>0.9617996604414262</v>
      </c>
      <c r="AQ98" s="78" t="n">
        <v>0.9710264900662252</v>
      </c>
      <c r="AR98" s="80" t="n">
        <v>0</v>
      </c>
      <c r="AS98" s="80" t="n">
        <v>0</v>
      </c>
      <c r="AT98" s="80" t="n">
        <v>108</v>
      </c>
      <c r="AU98" s="80" t="n">
        <v>94</v>
      </c>
      <c r="AV98" s="80" t="n">
        <v>96</v>
      </c>
      <c r="AW98" s="80" t="n">
        <v>79</v>
      </c>
      <c r="AX98" s="77" t="n">
        <v>0.01341515627229913</v>
      </c>
      <c r="AY98" s="77" t="n">
        <v>0.01370058512915656</v>
      </c>
      <c r="AZ98" s="77" t="n">
        <v>0.01127443984586842</v>
      </c>
      <c r="BA98" s="77" t="n">
        <v>0.08473080317740513</v>
      </c>
      <c r="BB98" s="80" t="n">
        <v>0</v>
      </c>
      <c r="BC98" s="80" t="n">
        <v>0</v>
      </c>
      <c r="BD98" s="78" t="n">
        <v>0.9898477157360406</v>
      </c>
      <c r="BE98" s="78" t="n">
        <v>1</v>
      </c>
      <c r="BF98" s="78" t="inlineStr">
        <is>
          <t>-</t>
        </is>
      </c>
    </row>
    <row r="99" ht="19.55" customHeight="1">
      <c r="A99" s="81" t="n">
        <v>96</v>
      </c>
      <c r="B99" s="76" t="inlineStr">
        <is>
          <t>全国</t>
        </is>
      </c>
      <c r="C99" s="82" t="n">
        <v>46136</v>
      </c>
      <c r="D99" s="76" t="inlineStr">
        <is>
          <t>天籁·鸿蒙座舱</t>
        </is>
      </c>
      <c r="E99" s="76" t="n">
        <v>3110</v>
      </c>
      <c r="F99" s="76" t="n">
        <v>2731</v>
      </c>
      <c r="G99" s="77" t="n">
        <v>0.8781350482315112</v>
      </c>
      <c r="H99" s="76" t="n">
        <v>2027</v>
      </c>
      <c r="I99" s="78" t="n">
        <v>0.6517684887459807</v>
      </c>
      <c r="J99" s="76" t="n">
        <v>2885</v>
      </c>
      <c r="K99" s="76" t="n">
        <v>2758</v>
      </c>
      <c r="L99" s="77" t="n">
        <v>0.956</v>
      </c>
      <c r="M99" s="76" t="n">
        <v>14993</v>
      </c>
      <c r="N99" s="76" t="n">
        <v>15667</v>
      </c>
      <c r="O99" s="76" t="n">
        <v>14754</v>
      </c>
      <c r="P99" s="77" t="n">
        <v>0.9840592276395651</v>
      </c>
      <c r="Q99" s="76" t="n">
        <v>25</v>
      </c>
      <c r="R99" s="76" t="n">
        <v>0</v>
      </c>
      <c r="S99" s="76" t="n">
        <v>0</v>
      </c>
      <c r="T99" s="77" t="n">
        <v>0</v>
      </c>
      <c r="U99" s="76" t="n">
        <v>0</v>
      </c>
      <c r="V99" s="77" t="n">
        <v>0</v>
      </c>
      <c r="W99" s="76" t="n">
        <v>6944</v>
      </c>
      <c r="X99" s="77" t="n">
        <v>2.232797427652733</v>
      </c>
      <c r="Y99" s="76" t="n">
        <v>939</v>
      </c>
      <c r="Z99" s="79" t="n">
        <v>0.3019292604501608</v>
      </c>
      <c r="AA99" s="76" t="n">
        <v>76</v>
      </c>
      <c r="AB99" s="77" t="n">
        <v>0.02443729903536978</v>
      </c>
      <c r="AC99" s="76" t="n">
        <v>462</v>
      </c>
      <c r="AD99" s="77" t="n">
        <v>0.1485530546623794</v>
      </c>
      <c r="AE99" s="76" t="n">
        <v>59</v>
      </c>
      <c r="AF99" s="77" t="n">
        <v>0.1277056277056277</v>
      </c>
      <c r="AG99" s="76" t="n">
        <v>408</v>
      </c>
      <c r="AH99" s="77" t="n">
        <v>0.8831168831168831</v>
      </c>
      <c r="AI99" s="80" t="n">
        <v>457</v>
      </c>
      <c r="AJ99" s="77" t="n">
        <v>0.1469453376205788</v>
      </c>
      <c r="AK99" s="80" t="n">
        <v>0</v>
      </c>
      <c r="AL99" s="77" t="n">
        <v>0.9321663019693655</v>
      </c>
      <c r="AM99" s="80" t="n">
        <v>448</v>
      </c>
      <c r="AN99" s="80" t="n">
        <v>426</v>
      </c>
      <c r="AO99" s="77" t="n">
        <v>0.1369774919614148</v>
      </c>
      <c r="AP99" s="77" t="n">
        <v>0.9220779220779221</v>
      </c>
      <c r="AQ99" s="78" t="n">
        <v>0.9755501222493888</v>
      </c>
      <c r="AR99" s="80" t="n">
        <v>0</v>
      </c>
      <c r="AS99" s="80" t="n">
        <v>0</v>
      </c>
      <c r="AT99" s="80" t="n">
        <v>60</v>
      </c>
      <c r="AU99" s="80" t="n">
        <v>56</v>
      </c>
      <c r="AV99" s="80" t="n">
        <v>56</v>
      </c>
      <c r="AW99" s="80" t="n">
        <v>81</v>
      </c>
      <c r="AX99" s="77" t="n">
        <v>0.0180064308681672</v>
      </c>
      <c r="AY99" s="77" t="n">
        <v>0.0180064308681672</v>
      </c>
      <c r="AZ99" s="77" t="n">
        <v>0.02604501607717042</v>
      </c>
      <c r="BA99" s="77" t="n">
        <v>0.1314553990610329</v>
      </c>
      <c r="BB99" s="80" t="n">
        <v>0</v>
      </c>
      <c r="BC99" s="80" t="n">
        <v>0</v>
      </c>
      <c r="BD99" s="78" t="n">
        <v>1</v>
      </c>
      <c r="BE99" s="78" t="n">
        <v>1</v>
      </c>
      <c r="BF99" s="78" t="inlineStr">
        <is>
          <t>-</t>
        </is>
      </c>
    </row>
    <row r="100" ht="19.55" customHeight="1">
      <c r="A100" s="81" t="n">
        <v>97</v>
      </c>
      <c r="B100" s="76" t="inlineStr">
        <is>
          <t>全国</t>
        </is>
      </c>
      <c r="C100" s="82" t="n">
        <v>46137</v>
      </c>
      <c r="D100" s="76" t="inlineStr">
        <is>
          <t>N6</t>
        </is>
      </c>
      <c r="E100" s="76" t="n">
        <v>2462</v>
      </c>
      <c r="F100" s="76" t="n">
        <v>2166</v>
      </c>
      <c r="G100" s="77" t="n">
        <v>0.8797725426482534</v>
      </c>
      <c r="H100" s="76" t="n">
        <v>1347</v>
      </c>
      <c r="I100" s="78" t="n">
        <v>0.5471161657189277</v>
      </c>
      <c r="J100" s="76" t="n">
        <v>1867</v>
      </c>
      <c r="K100" s="76" t="n">
        <v>1826</v>
      </c>
      <c r="L100" s="77" t="n">
        <v>0.978</v>
      </c>
      <c r="M100" s="76" t="n">
        <v>9132</v>
      </c>
      <c r="N100" s="76" t="n">
        <v>9536</v>
      </c>
      <c r="O100" s="76" t="n">
        <v>9013</v>
      </c>
      <c r="P100" s="77" t="n">
        <v>0.9869689005694262</v>
      </c>
      <c r="Q100" s="76" t="n">
        <v>17</v>
      </c>
      <c r="R100" s="76" t="n">
        <v>0</v>
      </c>
      <c r="S100" s="76" t="n">
        <v>0</v>
      </c>
      <c r="T100" s="77" t="n">
        <v>0</v>
      </c>
      <c r="U100" s="76" t="n">
        <v>0</v>
      </c>
      <c r="V100" s="77" t="n">
        <v>0</v>
      </c>
      <c r="W100" s="76" t="n">
        <v>5384</v>
      </c>
      <c r="X100" s="77" t="n">
        <v>2.186839967506093</v>
      </c>
      <c r="Y100" s="76" t="n">
        <v>421</v>
      </c>
      <c r="Z100" s="79" t="n">
        <v>0.1709991876523152</v>
      </c>
      <c r="AA100" s="76" t="n">
        <v>44</v>
      </c>
      <c r="AB100" s="77" t="n">
        <v>0.01787164906580016</v>
      </c>
      <c r="AC100" s="76" t="n">
        <v>283</v>
      </c>
      <c r="AD100" s="77" t="n">
        <v>0.1149471974004874</v>
      </c>
      <c r="AE100" s="76" t="n">
        <v>52</v>
      </c>
      <c r="AF100" s="77" t="n">
        <v>0.1837455830388693</v>
      </c>
      <c r="AG100" s="76" t="n">
        <v>257</v>
      </c>
      <c r="AH100" s="77" t="n">
        <v>0.9081272084805654</v>
      </c>
      <c r="AI100" s="80" t="n">
        <v>297</v>
      </c>
      <c r="AJ100" s="77" t="n">
        <v>0.1206336311941511</v>
      </c>
      <c r="AK100" s="80" t="n">
        <v>0</v>
      </c>
      <c r="AL100" s="77" t="n">
        <v>0.8888888888888888</v>
      </c>
      <c r="AM100" s="80" t="n">
        <v>291</v>
      </c>
      <c r="AN100" s="80" t="n">
        <v>264</v>
      </c>
      <c r="AO100" s="77" t="n">
        <v>0.107229894394801</v>
      </c>
      <c r="AP100" s="77" t="n">
        <v>0.9328621908127208</v>
      </c>
      <c r="AQ100" s="78" t="n">
        <v>0.9836065573770492</v>
      </c>
      <c r="AR100" s="80" t="n">
        <v>0</v>
      </c>
      <c r="AS100" s="80" t="n">
        <v>0</v>
      </c>
      <c r="AT100" s="80" t="n">
        <v>60</v>
      </c>
      <c r="AU100" s="80" t="n">
        <v>56</v>
      </c>
      <c r="AV100" s="80" t="n">
        <v>57</v>
      </c>
      <c r="AW100" s="80" t="n">
        <v>49</v>
      </c>
      <c r="AX100" s="77" t="n">
        <v>0.02274573517465475</v>
      </c>
      <c r="AY100" s="77" t="n">
        <v>0.0231519090170593</v>
      </c>
      <c r="AZ100" s="77" t="n">
        <v>0.01990251827782291</v>
      </c>
      <c r="BA100" s="77" t="n">
        <v>0.2159090909090909</v>
      </c>
      <c r="BB100" s="80" t="n">
        <v>0</v>
      </c>
      <c r="BC100" s="80" t="n">
        <v>0</v>
      </c>
      <c r="BD100" s="78" t="n">
        <v>1</v>
      </c>
      <c r="BE100" s="78" t="n">
        <v>1</v>
      </c>
      <c r="BF100" s="78" t="inlineStr">
        <is>
          <t>-</t>
        </is>
      </c>
    </row>
    <row r="101" ht="19.55" customHeight="1">
      <c r="A101" s="81" t="n">
        <v>98</v>
      </c>
      <c r="B101" s="76" t="inlineStr">
        <is>
          <t>全国</t>
        </is>
      </c>
      <c r="C101" s="82" t="n">
        <v>46137</v>
      </c>
      <c r="D101" s="76" t="inlineStr">
        <is>
          <t>N7</t>
        </is>
      </c>
      <c r="E101" s="76" t="n">
        <v>2342</v>
      </c>
      <c r="F101" s="76" t="n">
        <v>2052</v>
      </c>
      <c r="G101" s="77" t="n">
        <v>0.8761742100768574</v>
      </c>
      <c r="H101" s="76" t="n">
        <v>951</v>
      </c>
      <c r="I101" s="78" t="n">
        <v>0.406063193851409</v>
      </c>
      <c r="J101" s="76" t="n">
        <v>1651</v>
      </c>
      <c r="K101" s="76" t="n">
        <v>1624</v>
      </c>
      <c r="L101" s="77" t="n">
        <v>0.984</v>
      </c>
      <c r="M101" s="76" t="n">
        <v>8781</v>
      </c>
      <c r="N101" s="76" t="n">
        <v>9337</v>
      </c>
      <c r="O101" s="76" t="n">
        <v>8665</v>
      </c>
      <c r="P101" s="77" t="n">
        <v>0.9867896594920852</v>
      </c>
      <c r="Q101" s="76" t="n">
        <v>22</v>
      </c>
      <c r="R101" s="76" t="n">
        <v>0</v>
      </c>
      <c r="S101" s="76" t="n">
        <v>0</v>
      </c>
      <c r="T101" s="77" t="n">
        <v>0</v>
      </c>
      <c r="U101" s="76" t="n">
        <v>0</v>
      </c>
      <c r="V101" s="77" t="n">
        <v>0</v>
      </c>
      <c r="W101" s="76" t="n">
        <v>5767</v>
      </c>
      <c r="X101" s="77" t="n">
        <v>2.462425277540564</v>
      </c>
      <c r="Y101" s="76" t="n">
        <v>454</v>
      </c>
      <c r="Z101" s="79" t="n">
        <v>0.1938514090520922</v>
      </c>
      <c r="AA101" s="76" t="n">
        <v>26</v>
      </c>
      <c r="AB101" s="77" t="n">
        <v>0.01110162254483348</v>
      </c>
      <c r="AC101" s="76" t="n">
        <v>369</v>
      </c>
      <c r="AD101" s="77" t="n">
        <v>0.1575576430401366</v>
      </c>
      <c r="AE101" s="76" t="n">
        <v>55</v>
      </c>
      <c r="AF101" s="77" t="n">
        <v>0.1490514905149052</v>
      </c>
      <c r="AG101" s="76" t="n">
        <v>328</v>
      </c>
      <c r="AH101" s="77" t="n">
        <v>0.8888888888888888</v>
      </c>
      <c r="AI101" s="80" t="n">
        <v>364</v>
      </c>
      <c r="AJ101" s="77" t="n">
        <v>0.1554227156276687</v>
      </c>
      <c r="AK101" s="80" t="n">
        <v>3</v>
      </c>
      <c r="AL101" s="77" t="n">
        <v>0.8708791208791209</v>
      </c>
      <c r="AM101" s="80" t="n">
        <v>362</v>
      </c>
      <c r="AN101" s="80" t="n">
        <v>317</v>
      </c>
      <c r="AO101" s="77" t="n">
        <v>0.1353543979504697</v>
      </c>
      <c r="AP101" s="77" t="n">
        <v>0.8590785907859079</v>
      </c>
      <c r="AQ101" s="78" t="n">
        <v>0.9151515151515152</v>
      </c>
      <c r="AR101" s="80" t="n">
        <v>0</v>
      </c>
      <c r="AS101" s="80" t="n">
        <v>0</v>
      </c>
      <c r="AT101" s="80" t="n">
        <v>61</v>
      </c>
      <c r="AU101" s="80" t="n">
        <v>58</v>
      </c>
      <c r="AV101" s="80" t="n">
        <v>58</v>
      </c>
      <c r="AW101" s="80" t="n">
        <v>51</v>
      </c>
      <c r="AX101" s="77" t="n">
        <v>0.02476515798462852</v>
      </c>
      <c r="AY101" s="77" t="n">
        <v>0.02476515798462852</v>
      </c>
      <c r="AZ101" s="77" t="n">
        <v>0.02177625960717336</v>
      </c>
      <c r="BA101" s="77" t="n">
        <v>0.1829652996845426</v>
      </c>
      <c r="BB101" s="80" t="n">
        <v>0</v>
      </c>
      <c r="BC101" s="80" t="n">
        <v>0</v>
      </c>
      <c r="BD101" s="78" t="n">
        <v>0.9512195121951219</v>
      </c>
      <c r="BE101" s="78" t="n">
        <v>1</v>
      </c>
      <c r="BF101" s="78" t="inlineStr">
        <is>
          <t>-</t>
        </is>
      </c>
    </row>
    <row r="102" ht="19.55" customHeight="1">
      <c r="A102" s="81" t="n">
        <v>99</v>
      </c>
      <c r="B102" s="76" t="inlineStr">
        <is>
          <t>全国</t>
        </is>
      </c>
      <c r="C102" s="82" t="n">
        <v>46137</v>
      </c>
      <c r="D102" s="76" t="inlineStr">
        <is>
          <t>NX8</t>
        </is>
      </c>
      <c r="E102" s="76" t="n">
        <v>11040</v>
      </c>
      <c r="F102" s="76" t="n">
        <v>9741</v>
      </c>
      <c r="G102" s="77" t="n">
        <v>0.8823369565217392</v>
      </c>
      <c r="H102" s="76" t="n">
        <v>2323</v>
      </c>
      <c r="I102" s="78" t="n">
        <v>0.2104166666666667</v>
      </c>
      <c r="J102" s="76" t="n">
        <v>5979</v>
      </c>
      <c r="K102" s="76" t="n">
        <v>5841</v>
      </c>
      <c r="L102" s="77" t="n">
        <v>0.977</v>
      </c>
      <c r="M102" s="76" t="n">
        <v>25453</v>
      </c>
      <c r="N102" s="76" t="n">
        <v>27252</v>
      </c>
      <c r="O102" s="76" t="n">
        <v>25091</v>
      </c>
      <c r="P102" s="77" t="n">
        <v>0.9857777079322673</v>
      </c>
      <c r="Q102" s="76" t="n">
        <v>39</v>
      </c>
      <c r="R102" s="76" t="n">
        <v>0</v>
      </c>
      <c r="S102" s="76" t="n">
        <v>0</v>
      </c>
      <c r="T102" s="77" t="n">
        <v>0</v>
      </c>
      <c r="U102" s="76" t="n">
        <v>0</v>
      </c>
      <c r="V102" s="77" t="n">
        <v>0</v>
      </c>
      <c r="W102" s="76" t="n">
        <v>1954</v>
      </c>
      <c r="X102" s="77" t="n">
        <v>0.1769927536231884</v>
      </c>
      <c r="Y102" s="76" t="n">
        <v>1634</v>
      </c>
      <c r="Z102" s="79" t="n">
        <v>0.1480072463768116</v>
      </c>
      <c r="AA102" s="76" t="n">
        <v>7</v>
      </c>
      <c r="AB102" s="77" t="n">
        <v>0.0006340579710144927</v>
      </c>
      <c r="AC102" s="76" t="n">
        <v>1817</v>
      </c>
      <c r="AD102" s="77" t="n">
        <v>0.1645833333333333</v>
      </c>
      <c r="AE102" s="76" t="n">
        <v>308</v>
      </c>
      <c r="AF102" s="77" t="n">
        <v>0.1695101816180517</v>
      </c>
      <c r="AG102" s="76" t="n">
        <v>1614</v>
      </c>
      <c r="AH102" s="77" t="n">
        <v>0.8882773802971932</v>
      </c>
      <c r="AI102" s="80" t="n">
        <v>1840</v>
      </c>
      <c r="AJ102" s="77" t="n">
        <v>0.1666666666666667</v>
      </c>
      <c r="AK102" s="80" t="n">
        <v>11</v>
      </c>
      <c r="AL102" s="77" t="n">
        <v>0.9130434782608695</v>
      </c>
      <c r="AM102" s="80" t="n">
        <v>1838</v>
      </c>
      <c r="AN102" s="80" t="n">
        <v>1680</v>
      </c>
      <c r="AO102" s="77" t="n">
        <v>0.1521739130434783</v>
      </c>
      <c r="AP102" s="77" t="n">
        <v>0.9246009906439185</v>
      </c>
      <c r="AQ102" s="78" t="n">
        <v>0.9718076285240465</v>
      </c>
      <c r="AR102" s="80" t="n">
        <v>0</v>
      </c>
      <c r="AS102" s="80" t="n">
        <v>0</v>
      </c>
      <c r="AT102" s="80" t="n">
        <v>249</v>
      </c>
      <c r="AU102" s="80" t="n">
        <v>236</v>
      </c>
      <c r="AV102" s="80" t="n">
        <v>225</v>
      </c>
      <c r="AW102" s="80" t="n">
        <v>59</v>
      </c>
      <c r="AX102" s="77" t="n">
        <v>0.0213768115942029</v>
      </c>
      <c r="AY102" s="77" t="n">
        <v>0.0203804347826087</v>
      </c>
      <c r="AZ102" s="77" t="n">
        <v>0.005344202898550724</v>
      </c>
      <c r="BA102" s="77" t="n">
        <v>0.1339285714285714</v>
      </c>
      <c r="BB102" s="80" t="n">
        <v>0</v>
      </c>
      <c r="BC102" s="80" t="n">
        <v>0</v>
      </c>
      <c r="BD102" s="78" t="n">
        <v>0.9845201238390093</v>
      </c>
      <c r="BE102" s="78" t="n">
        <v>1</v>
      </c>
      <c r="BF102" s="78" t="inlineStr">
        <is>
          <t>-</t>
        </is>
      </c>
    </row>
    <row r="103" ht="19.55" customHeight="1">
      <c r="A103" s="81" t="n">
        <v>100</v>
      </c>
      <c r="B103" s="76" t="inlineStr">
        <is>
          <t>全国</t>
        </is>
      </c>
      <c r="C103" s="82" t="n">
        <v>46137</v>
      </c>
      <c r="D103" s="76" t="inlineStr">
        <is>
          <t>天籁·鸿蒙座舱</t>
        </is>
      </c>
      <c r="E103" s="76" t="n">
        <v>3943</v>
      </c>
      <c r="F103" s="76" t="n">
        <v>3551</v>
      </c>
      <c r="G103" s="77" t="n">
        <v>0.9005833121988334</v>
      </c>
      <c r="H103" s="76" t="n">
        <v>2558</v>
      </c>
      <c r="I103" s="78" t="n">
        <v>0.6487446107025108</v>
      </c>
      <c r="J103" s="76" t="n">
        <v>4488</v>
      </c>
      <c r="K103" s="76" t="n">
        <v>4400</v>
      </c>
      <c r="L103" s="77" t="n">
        <v>0.98</v>
      </c>
      <c r="M103" s="76" t="n">
        <v>17362</v>
      </c>
      <c r="N103" s="76" t="n">
        <v>18150</v>
      </c>
      <c r="O103" s="76" t="n">
        <v>17149</v>
      </c>
      <c r="P103" s="77" t="n">
        <v>0.9877318281303997</v>
      </c>
      <c r="Q103" s="76" t="n">
        <v>27</v>
      </c>
      <c r="R103" s="76" t="n">
        <v>0</v>
      </c>
      <c r="S103" s="76" t="n">
        <v>0</v>
      </c>
      <c r="T103" s="77" t="n">
        <v>0</v>
      </c>
      <c r="U103" s="76" t="n">
        <v>0</v>
      </c>
      <c r="V103" s="77" t="n">
        <v>0</v>
      </c>
      <c r="W103" s="76" t="n">
        <v>7461</v>
      </c>
      <c r="X103" s="77" t="n">
        <v>1.892214050215572</v>
      </c>
      <c r="Y103" s="76" t="n">
        <v>662</v>
      </c>
      <c r="Z103" s="79" t="n">
        <v>0.1678924676642151</v>
      </c>
      <c r="AA103" s="76" t="n">
        <v>77</v>
      </c>
      <c r="AB103" s="77" t="n">
        <v>0.01952827796094344</v>
      </c>
      <c r="AC103" s="76" t="n">
        <v>690</v>
      </c>
      <c r="AD103" s="77" t="n">
        <v>0.1749936596500127</v>
      </c>
      <c r="AE103" s="76" t="n">
        <v>76</v>
      </c>
      <c r="AF103" s="77" t="n">
        <v>0.1101449275362319</v>
      </c>
      <c r="AG103" s="76" t="n">
        <v>618</v>
      </c>
      <c r="AH103" s="77" t="n">
        <v>0.8956521739130435</v>
      </c>
      <c r="AI103" s="80" t="n">
        <v>664</v>
      </c>
      <c r="AJ103" s="77" t="n">
        <v>0.1683996956632006</v>
      </c>
      <c r="AK103" s="80" t="n">
        <v>5</v>
      </c>
      <c r="AL103" s="77" t="n">
        <v>0.9412650602409639</v>
      </c>
      <c r="AM103" s="80" t="n">
        <v>646</v>
      </c>
      <c r="AN103" s="80" t="n">
        <v>625</v>
      </c>
      <c r="AO103" s="77" t="n">
        <v>0.1585087496829825</v>
      </c>
      <c r="AP103" s="77" t="n">
        <v>0.9057971014492754</v>
      </c>
      <c r="AQ103" s="78" t="n">
        <v>0.9772209567198178</v>
      </c>
      <c r="AR103" s="80" t="n">
        <v>0</v>
      </c>
      <c r="AS103" s="80" t="n">
        <v>0</v>
      </c>
      <c r="AT103" s="80" t="n">
        <v>108</v>
      </c>
      <c r="AU103" s="80" t="n">
        <v>105</v>
      </c>
      <c r="AV103" s="80" t="n">
        <v>102</v>
      </c>
      <c r="AW103" s="80" t="n">
        <v>87</v>
      </c>
      <c r="AX103" s="77" t="n">
        <v>0.02662946994674106</v>
      </c>
      <c r="AY103" s="77" t="n">
        <v>0.02586862794826274</v>
      </c>
      <c r="AZ103" s="77" t="n">
        <v>0.02206441795587116</v>
      </c>
      <c r="BA103" s="77" t="n">
        <v>0.1632</v>
      </c>
      <c r="BB103" s="80" t="n">
        <v>0</v>
      </c>
      <c r="BC103" s="80" t="n">
        <v>0</v>
      </c>
      <c r="BD103" s="78" t="n">
        <v>0.978494623655914</v>
      </c>
      <c r="BE103" s="78" t="n">
        <v>1</v>
      </c>
      <c r="BF103" s="78" t="inlineStr">
        <is>
          <t>-</t>
        </is>
      </c>
    </row>
    <row r="104" ht="19.55" customHeight="1">
      <c r="A104" s="81" t="n">
        <v>101</v>
      </c>
      <c r="B104" s="76" t="inlineStr">
        <is>
          <t>全国</t>
        </is>
      </c>
      <c r="C104" s="82" t="n">
        <v>46138</v>
      </c>
      <c r="D104" s="76" t="inlineStr">
        <is>
          <t>N6</t>
        </is>
      </c>
      <c r="E104" s="76" t="n">
        <v>2597</v>
      </c>
      <c r="F104" s="76" t="n">
        <v>2267</v>
      </c>
      <c r="G104" s="77" t="n">
        <v>0.8729303041971506</v>
      </c>
      <c r="H104" s="76" t="n">
        <v>1431</v>
      </c>
      <c r="I104" s="78" t="n">
        <v>0.5510204081632653</v>
      </c>
      <c r="J104" s="76" t="n">
        <v>3372</v>
      </c>
      <c r="K104" s="76" t="n">
        <v>3292</v>
      </c>
      <c r="L104" s="77" t="n">
        <v>0.976</v>
      </c>
      <c r="M104" s="76" t="n">
        <v>10807</v>
      </c>
      <c r="N104" s="76" t="n">
        <v>10925</v>
      </c>
      <c r="O104" s="76" t="n">
        <v>10637</v>
      </c>
      <c r="P104" s="77" t="n">
        <v>0.9842694549828814</v>
      </c>
      <c r="Q104" s="76" t="n">
        <v>29</v>
      </c>
      <c r="R104" s="76" t="n">
        <v>0</v>
      </c>
      <c r="S104" s="76" t="n">
        <v>0</v>
      </c>
      <c r="T104" s="77" t="n">
        <v>0</v>
      </c>
      <c r="U104" s="76" t="n">
        <v>0</v>
      </c>
      <c r="V104" s="77" t="n">
        <v>0</v>
      </c>
      <c r="W104" s="76" t="n">
        <v>3941</v>
      </c>
      <c r="X104" s="77" t="n">
        <v>1.517520215633423</v>
      </c>
      <c r="Y104" s="76" t="n">
        <v>427</v>
      </c>
      <c r="Z104" s="79" t="n">
        <v>0.1644204851752022</v>
      </c>
      <c r="AA104" s="76" t="n">
        <v>36</v>
      </c>
      <c r="AB104" s="77" t="n">
        <v>0.01386214863303812</v>
      </c>
      <c r="AC104" s="76" t="n">
        <v>308</v>
      </c>
      <c r="AD104" s="77" t="n">
        <v>0.1185983827493261</v>
      </c>
      <c r="AE104" s="76" t="n">
        <v>51</v>
      </c>
      <c r="AF104" s="77" t="n">
        <v>0.1655844155844156</v>
      </c>
      <c r="AG104" s="76" t="n">
        <v>266</v>
      </c>
      <c r="AH104" s="77" t="n">
        <v>0.8636363636363636</v>
      </c>
      <c r="AI104" s="80" t="n">
        <v>287</v>
      </c>
      <c r="AJ104" s="77" t="n">
        <v>0.1105121293800539</v>
      </c>
      <c r="AK104" s="80" t="n">
        <v>2</v>
      </c>
      <c r="AL104" s="77" t="n">
        <v>0.8815331010452961</v>
      </c>
      <c r="AM104" s="80" t="n">
        <v>286</v>
      </c>
      <c r="AN104" s="80" t="n">
        <v>253</v>
      </c>
      <c r="AO104" s="77" t="n">
        <v>0.09742010011551791</v>
      </c>
      <c r="AP104" s="77" t="n">
        <v>0.8214285714285714</v>
      </c>
      <c r="AQ104" s="78" t="n">
        <v>0.974169741697417</v>
      </c>
      <c r="AR104" s="80" t="n">
        <v>0</v>
      </c>
      <c r="AS104" s="80" t="n">
        <v>0</v>
      </c>
      <c r="AT104" s="80" t="n">
        <v>69</v>
      </c>
      <c r="AU104" s="80" t="n">
        <v>67</v>
      </c>
      <c r="AV104" s="80" t="n">
        <v>68</v>
      </c>
      <c r="AW104" s="80" t="n">
        <v>50</v>
      </c>
      <c r="AX104" s="77" t="n">
        <v>0.02579899884482095</v>
      </c>
      <c r="AY104" s="77" t="n">
        <v>0.026184058529072</v>
      </c>
      <c r="AZ104" s="77" t="n">
        <v>0.01925298421255294</v>
      </c>
      <c r="BA104" s="77" t="n">
        <v>0.2687747035573123</v>
      </c>
      <c r="BB104" s="80" t="n">
        <v>0</v>
      </c>
      <c r="BC104" s="80" t="n">
        <v>0</v>
      </c>
      <c r="BD104" s="78" t="n">
        <v>0.98</v>
      </c>
      <c r="BE104" s="78" t="n">
        <v>1</v>
      </c>
      <c r="BF104" s="78" t="inlineStr">
        <is>
          <t>-</t>
        </is>
      </c>
    </row>
    <row r="105" ht="19.55" customHeight="1">
      <c r="A105" s="81" t="n">
        <v>102</v>
      </c>
      <c r="B105" s="76" t="inlineStr">
        <is>
          <t>全国</t>
        </is>
      </c>
      <c r="C105" s="82" t="n">
        <v>46138</v>
      </c>
      <c r="D105" s="76" t="inlineStr">
        <is>
          <t>N7</t>
        </is>
      </c>
      <c r="E105" s="76" t="n">
        <v>2174</v>
      </c>
      <c r="F105" s="76" t="n">
        <v>1961</v>
      </c>
      <c r="G105" s="77" t="n">
        <v>0.9020239190432383</v>
      </c>
      <c r="H105" s="76" t="n">
        <v>726</v>
      </c>
      <c r="I105" s="78" t="n">
        <v>0.3339466421343146</v>
      </c>
      <c r="J105" s="76" t="n">
        <v>1729</v>
      </c>
      <c r="K105" s="76" t="n">
        <v>1697</v>
      </c>
      <c r="L105" s="77" t="n">
        <v>0.981</v>
      </c>
      <c r="M105" s="76" t="n">
        <v>9218</v>
      </c>
      <c r="N105" s="76" t="n">
        <v>9176</v>
      </c>
      <c r="O105" s="76" t="n">
        <v>9101</v>
      </c>
      <c r="P105" s="77" t="n">
        <v>0.9873074419613799</v>
      </c>
      <c r="Q105" s="76" t="n">
        <v>20</v>
      </c>
      <c r="R105" s="76" t="n">
        <v>0</v>
      </c>
      <c r="S105" s="76" t="n">
        <v>0</v>
      </c>
      <c r="T105" s="77" t="n">
        <v>0</v>
      </c>
      <c r="U105" s="76" t="n">
        <v>0</v>
      </c>
      <c r="V105" s="77" t="n">
        <v>0</v>
      </c>
      <c r="W105" s="76" t="n">
        <v>4050</v>
      </c>
      <c r="X105" s="77" t="n">
        <v>1.862925482980681</v>
      </c>
      <c r="Y105" s="76" t="n">
        <v>469</v>
      </c>
      <c r="Z105" s="79" t="n">
        <v>0.2157313707451702</v>
      </c>
      <c r="AA105" s="76" t="n">
        <v>28</v>
      </c>
      <c r="AB105" s="77" t="n">
        <v>0.01287948482060718</v>
      </c>
      <c r="AC105" s="76" t="n">
        <v>396</v>
      </c>
      <c r="AD105" s="77" t="n">
        <v>0.1821527138914443</v>
      </c>
      <c r="AE105" s="76" t="n">
        <v>52</v>
      </c>
      <c r="AF105" s="77" t="n">
        <v>0.1313131313131313</v>
      </c>
      <c r="AG105" s="76" t="n">
        <v>345</v>
      </c>
      <c r="AH105" s="77" t="n">
        <v>0.8712121212121212</v>
      </c>
      <c r="AI105" s="80" t="n">
        <v>376</v>
      </c>
      <c r="AJ105" s="77" t="n">
        <v>0.1729530818767249</v>
      </c>
      <c r="AK105" s="80" t="n">
        <v>1</v>
      </c>
      <c r="AL105" s="77" t="n">
        <v>0.8723404255319149</v>
      </c>
      <c r="AM105" s="80" t="n">
        <v>376</v>
      </c>
      <c r="AN105" s="80" t="n">
        <v>328</v>
      </c>
      <c r="AO105" s="77" t="n">
        <v>0.1508739650413984</v>
      </c>
      <c r="AP105" s="77" t="n">
        <v>0.8282828282828283</v>
      </c>
      <c r="AQ105" s="78" t="n">
        <v>0.9548022598870056</v>
      </c>
      <c r="AR105" s="80" t="n">
        <v>0</v>
      </c>
      <c r="AS105" s="80" t="n">
        <v>0</v>
      </c>
      <c r="AT105" s="80" t="n">
        <v>74</v>
      </c>
      <c r="AU105" s="80" t="n">
        <v>73</v>
      </c>
      <c r="AV105" s="80" t="n">
        <v>71</v>
      </c>
      <c r="AW105" s="80" t="n">
        <v>27</v>
      </c>
      <c r="AX105" s="77" t="n">
        <v>0.03357865685372585</v>
      </c>
      <c r="AY105" s="77" t="n">
        <v>0.03265869365225391</v>
      </c>
      <c r="AZ105" s="77" t="n">
        <v>0.0124195032198712</v>
      </c>
      <c r="BA105" s="77" t="n">
        <v>0.2164634146341463</v>
      </c>
      <c r="BB105" s="80" t="n">
        <v>0</v>
      </c>
      <c r="BC105" s="80" t="n">
        <v>0</v>
      </c>
      <c r="BD105" s="78" t="n">
        <v>1</v>
      </c>
      <c r="BE105" s="78" t="n">
        <v>1</v>
      </c>
      <c r="BF105" s="78" t="inlineStr">
        <is>
          <t>-</t>
        </is>
      </c>
    </row>
    <row r="106" ht="19.55" customHeight="1">
      <c r="A106" s="81" t="n">
        <v>103</v>
      </c>
      <c r="B106" s="76" t="inlineStr">
        <is>
          <t>全国</t>
        </is>
      </c>
      <c r="C106" s="82" t="n">
        <v>46138</v>
      </c>
      <c r="D106" s="76" t="inlineStr">
        <is>
          <t>NX8</t>
        </is>
      </c>
      <c r="E106" s="76" t="n">
        <v>9393</v>
      </c>
      <c r="F106" s="76" t="n">
        <v>8233</v>
      </c>
      <c r="G106" s="77" t="n">
        <v>0.8765037794101991</v>
      </c>
      <c r="H106" s="76" t="n">
        <v>2010</v>
      </c>
      <c r="I106" s="78" t="n">
        <v>0.2139891408495688</v>
      </c>
      <c r="J106" s="76" t="n">
        <v>7797</v>
      </c>
      <c r="K106" s="76" t="n">
        <v>7609</v>
      </c>
      <c r="L106" s="77" t="n">
        <v>0.976</v>
      </c>
      <c r="M106" s="76" t="n">
        <v>28185</v>
      </c>
      <c r="N106" s="76" t="n">
        <v>27968</v>
      </c>
      <c r="O106" s="76" t="n">
        <v>27777</v>
      </c>
      <c r="P106" s="77" t="n">
        <v>0.9855242150079829</v>
      </c>
      <c r="Q106" s="76" t="n">
        <v>58</v>
      </c>
      <c r="R106" s="76" t="n">
        <v>0</v>
      </c>
      <c r="S106" s="76" t="n">
        <v>0</v>
      </c>
      <c r="T106" s="77" t="n">
        <v>0</v>
      </c>
      <c r="U106" s="76" t="n">
        <v>0</v>
      </c>
      <c r="V106" s="77" t="n">
        <v>0</v>
      </c>
      <c r="W106" s="76" t="n">
        <v>2054</v>
      </c>
      <c r="X106" s="77" t="n">
        <v>0.2186734802512509</v>
      </c>
      <c r="Y106" s="76" t="n">
        <v>1558</v>
      </c>
      <c r="Z106" s="79" t="n">
        <v>0.1658681997231981</v>
      </c>
      <c r="AA106" s="76" t="n">
        <v>10</v>
      </c>
      <c r="AB106" s="77" t="n">
        <v>0.001064622591291387</v>
      </c>
      <c r="AC106" s="76" t="n">
        <v>1788</v>
      </c>
      <c r="AD106" s="77" t="n">
        <v>0.1903545193229</v>
      </c>
      <c r="AE106" s="76" t="n">
        <v>300</v>
      </c>
      <c r="AF106" s="77" t="n">
        <v>0.1677852348993289</v>
      </c>
      <c r="AG106" s="76" t="n">
        <v>1580</v>
      </c>
      <c r="AH106" s="77" t="n">
        <v>0.883668903803132</v>
      </c>
      <c r="AI106" s="80" t="n">
        <v>1791</v>
      </c>
      <c r="AJ106" s="77" t="n">
        <v>0.1906739061002874</v>
      </c>
      <c r="AK106" s="80" t="n">
        <v>10</v>
      </c>
      <c r="AL106" s="77" t="n">
        <v>0.9173646007816862</v>
      </c>
      <c r="AM106" s="80" t="n">
        <v>1786</v>
      </c>
      <c r="AN106" s="80" t="n">
        <v>1643</v>
      </c>
      <c r="AO106" s="77" t="n">
        <v>0.1749174917491749</v>
      </c>
      <c r="AP106" s="77" t="n">
        <v>0.918903803131991</v>
      </c>
      <c r="AQ106" s="78" t="n">
        <v>0.9762168141592921</v>
      </c>
      <c r="AR106" s="80" t="n">
        <v>0</v>
      </c>
      <c r="AS106" s="80" t="n">
        <v>0</v>
      </c>
      <c r="AT106" s="80" t="n">
        <v>315</v>
      </c>
      <c r="AU106" s="80" t="n">
        <v>303</v>
      </c>
      <c r="AV106" s="80" t="n">
        <v>285</v>
      </c>
      <c r="AW106" s="80" t="n">
        <v>41</v>
      </c>
      <c r="AX106" s="77" t="n">
        <v>0.03225806451612903</v>
      </c>
      <c r="AY106" s="77" t="n">
        <v>0.03034174385180453</v>
      </c>
      <c r="AZ106" s="77" t="n">
        <v>0.004364952624294687</v>
      </c>
      <c r="BA106" s="77" t="n">
        <v>0.1734631771150335</v>
      </c>
      <c r="BB106" s="80" t="n">
        <v>0</v>
      </c>
      <c r="BC106" s="80" t="n">
        <v>0</v>
      </c>
      <c r="BD106" s="78" t="n">
        <v>0.975</v>
      </c>
      <c r="BE106" s="78" t="n">
        <v>1</v>
      </c>
      <c r="BF106" s="78" t="inlineStr">
        <is>
          <t>-</t>
        </is>
      </c>
    </row>
    <row r="107" ht="19.55" customHeight="1">
      <c r="A107" s="81" t="n">
        <v>104</v>
      </c>
      <c r="B107" s="76" t="inlineStr">
        <is>
          <t>全国</t>
        </is>
      </c>
      <c r="C107" s="82" t="n">
        <v>46138</v>
      </c>
      <c r="D107" s="76" t="inlineStr">
        <is>
          <t>天籁·鸿蒙座舱</t>
        </is>
      </c>
      <c r="E107" s="76" t="n">
        <v>3181</v>
      </c>
      <c r="F107" s="76" t="n">
        <v>2879</v>
      </c>
      <c r="G107" s="77" t="n">
        <v>0.9050613014775228</v>
      </c>
      <c r="H107" s="76" t="n">
        <v>1789</v>
      </c>
      <c r="I107" s="78" t="n">
        <v>0.5624017604526879</v>
      </c>
      <c r="J107" s="76" t="n">
        <v>3098</v>
      </c>
      <c r="K107" s="76" t="n">
        <v>3029</v>
      </c>
      <c r="L107" s="77" t="n">
        <v>0.978</v>
      </c>
      <c r="M107" s="76" t="n">
        <v>15912</v>
      </c>
      <c r="N107" s="76" t="n">
        <v>15882</v>
      </c>
      <c r="O107" s="76" t="n">
        <v>15708</v>
      </c>
      <c r="P107" s="77" t="n">
        <v>0.9871794871794872</v>
      </c>
      <c r="Q107" s="76" t="n">
        <v>50</v>
      </c>
      <c r="R107" s="76" t="n">
        <v>0</v>
      </c>
      <c r="S107" s="76" t="n">
        <v>0</v>
      </c>
      <c r="T107" s="77" t="n">
        <v>0</v>
      </c>
      <c r="U107" s="76" t="n">
        <v>0</v>
      </c>
      <c r="V107" s="77" t="n">
        <v>0</v>
      </c>
      <c r="W107" s="76" t="n">
        <v>5565</v>
      </c>
      <c r="X107" s="77" t="n">
        <v>1.749449858535052</v>
      </c>
      <c r="Y107" s="76" t="n">
        <v>633</v>
      </c>
      <c r="Z107" s="79" t="n">
        <v>0.1989940270355234</v>
      </c>
      <c r="AA107" s="76" t="n">
        <v>102</v>
      </c>
      <c r="AB107" s="77" t="n">
        <v>0.03206538824269098</v>
      </c>
      <c r="AC107" s="76" t="n">
        <v>683</v>
      </c>
      <c r="AD107" s="77" t="n">
        <v>0.21471235460547</v>
      </c>
      <c r="AE107" s="76" t="n">
        <v>83</v>
      </c>
      <c r="AF107" s="77" t="n">
        <v>0.1215226939970717</v>
      </c>
      <c r="AG107" s="76" t="n">
        <v>598</v>
      </c>
      <c r="AH107" s="77" t="n">
        <v>0.8755490483162518</v>
      </c>
      <c r="AI107" s="80" t="n">
        <v>657</v>
      </c>
      <c r="AJ107" s="77" t="n">
        <v>0.2065388242690978</v>
      </c>
      <c r="AK107" s="80" t="n">
        <v>0</v>
      </c>
      <c r="AL107" s="77" t="n">
        <v>0.9482496194824962</v>
      </c>
      <c r="AM107" s="80" t="n">
        <v>656</v>
      </c>
      <c r="AN107" s="80" t="n">
        <v>623</v>
      </c>
      <c r="AO107" s="77" t="n">
        <v>0.1958503615215341</v>
      </c>
      <c r="AP107" s="77" t="n">
        <v>0.9121522693997072</v>
      </c>
      <c r="AQ107" s="78" t="n">
        <v>0.9631410256410257</v>
      </c>
      <c r="AR107" s="80" t="n">
        <v>0</v>
      </c>
      <c r="AS107" s="80" t="n">
        <v>0</v>
      </c>
      <c r="AT107" s="80" t="n">
        <v>113</v>
      </c>
      <c r="AU107" s="80" t="n">
        <v>106</v>
      </c>
      <c r="AV107" s="80" t="n">
        <v>105</v>
      </c>
      <c r="AW107" s="80" t="n">
        <v>51</v>
      </c>
      <c r="AX107" s="77" t="n">
        <v>0.03332285444828671</v>
      </c>
      <c r="AY107" s="77" t="n">
        <v>0.03300848789688777</v>
      </c>
      <c r="AZ107" s="77" t="n">
        <v>0.01603269412134549</v>
      </c>
      <c r="BA107" s="77" t="n">
        <v>0.1685393258426966</v>
      </c>
      <c r="BB107" s="80" t="n">
        <v>0</v>
      </c>
      <c r="BC107" s="80" t="n">
        <v>0</v>
      </c>
      <c r="BD107" s="78" t="n">
        <v>0.9880952380952381</v>
      </c>
      <c r="BE107" s="78" t="n">
        <v>1</v>
      </c>
      <c r="BF107" s="78" t="inlineStr">
        <is>
          <t>-</t>
        </is>
      </c>
    </row>
    <row r="108" ht="19.55" customHeight="1">
      <c r="A108" s="81" t="n">
        <v>105</v>
      </c>
      <c r="B108" s="76" t="inlineStr">
        <is>
          <t>全国</t>
        </is>
      </c>
      <c r="C108" s="82" t="n">
        <v>46139</v>
      </c>
      <c r="D108" s="76" t="inlineStr">
        <is>
          <t>N6</t>
        </is>
      </c>
      <c r="E108" s="76" t="n">
        <v>3125</v>
      </c>
      <c r="F108" s="76" t="n">
        <v>2749</v>
      </c>
      <c r="G108" s="77" t="n">
        <v>0.87968</v>
      </c>
      <c r="H108" s="76" t="n">
        <v>1046</v>
      </c>
      <c r="I108" s="78" t="n">
        <v>0.33472</v>
      </c>
      <c r="J108" s="76" t="n">
        <v>2272</v>
      </c>
      <c r="K108" s="76" t="n">
        <v>2206</v>
      </c>
      <c r="L108" s="77" t="n">
        <v>0.971</v>
      </c>
      <c r="M108" s="76" t="n">
        <v>10233</v>
      </c>
      <c r="N108" s="76" t="n">
        <v>9694</v>
      </c>
      <c r="O108" s="76" t="n">
        <v>10053</v>
      </c>
      <c r="P108" s="77" t="n">
        <v>0.9824098504837291</v>
      </c>
      <c r="Q108" s="76" t="n">
        <v>39</v>
      </c>
      <c r="R108" s="76" t="n">
        <v>0</v>
      </c>
      <c r="S108" s="76" t="n">
        <v>0</v>
      </c>
      <c r="T108" s="77" t="n">
        <v>0</v>
      </c>
      <c r="U108" s="76" t="n">
        <v>0</v>
      </c>
      <c r="V108" s="77" t="n">
        <v>0</v>
      </c>
      <c r="W108" s="76" t="n">
        <v>2759</v>
      </c>
      <c r="X108" s="77" t="n">
        <v>0.88288</v>
      </c>
      <c r="Y108" s="76" t="n">
        <v>751</v>
      </c>
      <c r="Z108" s="79" t="n">
        <v>0.24032</v>
      </c>
      <c r="AA108" s="76" t="n">
        <v>31</v>
      </c>
      <c r="AB108" s="77" t="n">
        <v>0.00992</v>
      </c>
      <c r="AC108" s="76" t="n">
        <v>179</v>
      </c>
      <c r="AD108" s="77" t="n">
        <v>0.05728</v>
      </c>
      <c r="AE108" s="76" t="n">
        <v>35</v>
      </c>
      <c r="AF108" s="77" t="n">
        <v>0.1955307262569832</v>
      </c>
      <c r="AG108" s="76" t="n">
        <v>157</v>
      </c>
      <c r="AH108" s="77" t="n">
        <v>0.8770949720670391</v>
      </c>
      <c r="AI108" s="80" t="n">
        <v>188</v>
      </c>
      <c r="AJ108" s="77" t="n">
        <v>0.06016</v>
      </c>
      <c r="AK108" s="80" t="n">
        <v>0</v>
      </c>
      <c r="AL108" s="77" t="n">
        <v>0.9042553191489362</v>
      </c>
      <c r="AM108" s="80" t="n">
        <v>184</v>
      </c>
      <c r="AN108" s="80" t="n">
        <v>170</v>
      </c>
      <c r="AO108" s="77" t="n">
        <v>0.0544</v>
      </c>
      <c r="AP108" s="77" t="n">
        <v>0.9497206703910615</v>
      </c>
      <c r="AQ108" s="78" t="n">
        <v>0.9477351916376306</v>
      </c>
      <c r="AR108" s="80" t="n">
        <v>0</v>
      </c>
      <c r="AS108" s="80" t="n">
        <v>0</v>
      </c>
      <c r="AT108" s="80" t="n">
        <v>48</v>
      </c>
      <c r="AU108" s="80" t="n">
        <v>39</v>
      </c>
      <c r="AV108" s="80" t="n">
        <v>40</v>
      </c>
      <c r="AW108" s="80" t="n">
        <v>83</v>
      </c>
      <c r="AX108" s="77" t="n">
        <v>0.01248</v>
      </c>
      <c r="AY108" s="77" t="n">
        <v>0.0128</v>
      </c>
      <c r="AZ108" s="77" t="n">
        <v>0.02656</v>
      </c>
      <c r="BA108" s="77" t="n">
        <v>0.2352941176470588</v>
      </c>
      <c r="BB108" s="80" t="n">
        <v>0</v>
      </c>
      <c r="BC108" s="80" t="n">
        <v>0</v>
      </c>
      <c r="BD108" s="78" t="n">
        <v>0.9545454545454546</v>
      </c>
      <c r="BE108" s="78" t="n">
        <v>1</v>
      </c>
      <c r="BF108" s="78" t="inlineStr">
        <is>
          <t>-</t>
        </is>
      </c>
    </row>
    <row r="109" ht="19.55" customHeight="1">
      <c r="A109" s="81" t="n">
        <v>106</v>
      </c>
      <c r="B109" s="76" t="inlineStr">
        <is>
          <t>全国</t>
        </is>
      </c>
      <c r="C109" s="82" t="n">
        <v>46139</v>
      </c>
      <c r="D109" s="76" t="inlineStr">
        <is>
          <t>N7</t>
        </is>
      </c>
      <c r="E109" s="76" t="n">
        <v>2002</v>
      </c>
      <c r="F109" s="76" t="n">
        <v>1779</v>
      </c>
      <c r="G109" s="77" t="n">
        <v>0.8886113886113887</v>
      </c>
      <c r="H109" s="76" t="n">
        <v>656</v>
      </c>
      <c r="I109" s="78" t="n">
        <v>0.3276723276723277</v>
      </c>
      <c r="J109" s="76" t="n">
        <v>2166</v>
      </c>
      <c r="K109" s="76" t="n">
        <v>2123</v>
      </c>
      <c r="L109" s="77" t="n">
        <v>0.98</v>
      </c>
      <c r="M109" s="76" t="n">
        <v>9100</v>
      </c>
      <c r="N109" s="76" t="n">
        <v>8634</v>
      </c>
      <c r="O109" s="76" t="n">
        <v>8975</v>
      </c>
      <c r="P109" s="77" t="n">
        <v>0.9862637362637363</v>
      </c>
      <c r="Q109" s="76" t="n">
        <v>26</v>
      </c>
      <c r="R109" s="76" t="n">
        <v>0</v>
      </c>
      <c r="S109" s="76" t="n">
        <v>0</v>
      </c>
      <c r="T109" s="77" t="n">
        <v>0</v>
      </c>
      <c r="U109" s="76" t="n">
        <v>0</v>
      </c>
      <c r="V109" s="77" t="n">
        <v>0</v>
      </c>
      <c r="W109" s="76" t="n">
        <v>2997</v>
      </c>
      <c r="X109" s="77" t="n">
        <v>1.497002997002997</v>
      </c>
      <c r="Y109" s="76" t="n">
        <v>839</v>
      </c>
      <c r="Z109" s="79" t="n">
        <v>0.4190809190809191</v>
      </c>
      <c r="AA109" s="76" t="n">
        <v>22</v>
      </c>
      <c r="AB109" s="77" t="n">
        <v>0.01098901098901099</v>
      </c>
      <c r="AC109" s="76" t="n">
        <v>215</v>
      </c>
      <c r="AD109" s="77" t="n">
        <v>0.1073926073926074</v>
      </c>
      <c r="AE109" s="76" t="n">
        <v>44</v>
      </c>
      <c r="AF109" s="77" t="n">
        <v>0.2046511627906977</v>
      </c>
      <c r="AG109" s="76" t="n">
        <v>177</v>
      </c>
      <c r="AH109" s="77" t="n">
        <v>0.8232558139534883</v>
      </c>
      <c r="AI109" s="80" t="n">
        <v>220</v>
      </c>
      <c r="AJ109" s="77" t="n">
        <v>0.1098901098901099</v>
      </c>
      <c r="AK109" s="80" t="n">
        <v>0</v>
      </c>
      <c r="AL109" s="77" t="n">
        <v>0.7863636363636364</v>
      </c>
      <c r="AM109" s="80" t="n">
        <v>216</v>
      </c>
      <c r="AN109" s="80" t="n">
        <v>173</v>
      </c>
      <c r="AO109" s="77" t="n">
        <v>0.08641358641358642</v>
      </c>
      <c r="AP109" s="77" t="n">
        <v>0.8046511627906977</v>
      </c>
      <c r="AQ109" s="78" t="n">
        <v>0.9688385269121813</v>
      </c>
      <c r="AR109" s="80" t="n">
        <v>0</v>
      </c>
      <c r="AS109" s="80" t="n">
        <v>0</v>
      </c>
      <c r="AT109" s="80" t="n">
        <v>45</v>
      </c>
      <c r="AU109" s="80" t="n">
        <v>31</v>
      </c>
      <c r="AV109" s="80" t="n">
        <v>35</v>
      </c>
      <c r="AW109" s="80" t="n">
        <v>73</v>
      </c>
      <c r="AX109" s="77" t="n">
        <v>0.01548451548451548</v>
      </c>
      <c r="AY109" s="77" t="n">
        <v>0.01748251748251748</v>
      </c>
      <c r="AZ109" s="77" t="n">
        <v>0.03646353646353646</v>
      </c>
      <c r="BA109" s="77" t="n">
        <v>0.2023121387283237</v>
      </c>
      <c r="BB109" s="80" t="n">
        <v>0</v>
      </c>
      <c r="BC109" s="80" t="n">
        <v>0</v>
      </c>
      <c r="BD109" s="78" t="n">
        <v>1</v>
      </c>
      <c r="BE109" s="78" t="n">
        <v>0.8888888888888888</v>
      </c>
      <c r="BF109" s="78" t="inlineStr">
        <is>
          <t>-</t>
        </is>
      </c>
    </row>
    <row r="110" ht="19.55" customHeight="1">
      <c r="A110" s="81" t="n">
        <v>107</v>
      </c>
      <c r="B110" s="76" t="inlineStr">
        <is>
          <t>全国</t>
        </is>
      </c>
      <c r="C110" s="82" t="n">
        <v>46139</v>
      </c>
      <c r="D110" s="76" t="inlineStr">
        <is>
          <t>NX8</t>
        </is>
      </c>
      <c r="E110" s="76" t="n">
        <v>6322</v>
      </c>
      <c r="F110" s="76" t="n">
        <v>5490</v>
      </c>
      <c r="G110" s="77" t="n">
        <v>0.8683960771907624</v>
      </c>
      <c r="H110" s="76" t="n">
        <v>1479</v>
      </c>
      <c r="I110" s="78" t="n">
        <v>0.2339449541284404</v>
      </c>
      <c r="J110" s="76" t="n">
        <v>9155</v>
      </c>
      <c r="K110" s="76" t="n">
        <v>8943</v>
      </c>
      <c r="L110" s="77" t="n">
        <v>0.977</v>
      </c>
      <c r="M110" s="76" t="n">
        <v>29347</v>
      </c>
      <c r="N110" s="76" t="n">
        <v>27115</v>
      </c>
      <c r="O110" s="76" t="n">
        <v>28873</v>
      </c>
      <c r="P110" s="77" t="n">
        <v>0.9838484342522233</v>
      </c>
      <c r="Q110" s="76" t="n">
        <v>94</v>
      </c>
      <c r="R110" s="76" t="n">
        <v>0</v>
      </c>
      <c r="S110" s="76" t="n">
        <v>0</v>
      </c>
      <c r="T110" s="77" t="n">
        <v>0</v>
      </c>
      <c r="U110" s="76" t="n">
        <v>0</v>
      </c>
      <c r="V110" s="77" t="n">
        <v>0</v>
      </c>
      <c r="W110" s="76" t="n">
        <v>2272</v>
      </c>
      <c r="X110" s="77" t="n">
        <v>0.359379943055995</v>
      </c>
      <c r="Y110" s="76" t="n">
        <v>1393</v>
      </c>
      <c r="Z110" s="79" t="n">
        <v>0.2203416640303701</v>
      </c>
      <c r="AA110" s="76" t="n">
        <v>6</v>
      </c>
      <c r="AB110" s="77" t="n">
        <v>0.0009490667510281556</v>
      </c>
      <c r="AC110" s="76" t="n">
        <v>965</v>
      </c>
      <c r="AD110" s="77" t="n">
        <v>0.152641569123695</v>
      </c>
      <c r="AE110" s="76" t="n">
        <v>220</v>
      </c>
      <c r="AF110" s="77" t="n">
        <v>0.227979274611399</v>
      </c>
      <c r="AG110" s="76" t="n">
        <v>849</v>
      </c>
      <c r="AH110" s="77" t="n">
        <v>0.8797927461139896</v>
      </c>
      <c r="AI110" s="80" t="n">
        <v>997</v>
      </c>
      <c r="AJ110" s="77" t="n">
        <v>0.1577032584625119</v>
      </c>
      <c r="AK110" s="80" t="n">
        <v>7</v>
      </c>
      <c r="AL110" s="77" t="n">
        <v>0.917753259779338</v>
      </c>
      <c r="AM110" s="80" t="n">
        <v>992</v>
      </c>
      <c r="AN110" s="80" t="n">
        <v>915</v>
      </c>
      <c r="AO110" s="77" t="n">
        <v>0.1447326795317937</v>
      </c>
      <c r="AP110" s="77" t="n">
        <v>0.9481865284974094</v>
      </c>
      <c r="AQ110" s="78" t="n">
        <v>0.9741379310344828</v>
      </c>
      <c r="AR110" s="80" t="n">
        <v>0</v>
      </c>
      <c r="AS110" s="80" t="n">
        <v>0</v>
      </c>
      <c r="AT110" s="80" t="n">
        <v>143</v>
      </c>
      <c r="AU110" s="80" t="n">
        <v>131</v>
      </c>
      <c r="AV110" s="80" t="n">
        <v>139</v>
      </c>
      <c r="AW110" s="80" t="n">
        <v>106</v>
      </c>
      <c r="AX110" s="77" t="n">
        <v>0.0207212907307814</v>
      </c>
      <c r="AY110" s="77" t="n">
        <v>0.0219867130654856</v>
      </c>
      <c r="AZ110" s="77" t="n">
        <v>0.01676684593483075</v>
      </c>
      <c r="BA110" s="77" t="n">
        <v>0.1519125683060109</v>
      </c>
      <c r="BB110" s="80" t="n">
        <v>0</v>
      </c>
      <c r="BC110" s="80" t="n">
        <v>0</v>
      </c>
      <c r="BD110" s="78" t="n">
        <v>0.9629629629629629</v>
      </c>
      <c r="BE110" s="78" t="n">
        <v>1</v>
      </c>
      <c r="BF110" s="78" t="inlineStr">
        <is>
          <t>-</t>
        </is>
      </c>
    </row>
    <row r="111" ht="19.55" customHeight="1">
      <c r="A111" s="81" t="n">
        <v>108</v>
      </c>
      <c r="B111" s="76" t="inlineStr">
        <is>
          <t>全国</t>
        </is>
      </c>
      <c r="C111" s="82" t="n">
        <v>46139</v>
      </c>
      <c r="D111" s="76" t="inlineStr">
        <is>
          <t>天籁·鸿蒙座舱</t>
        </is>
      </c>
      <c r="E111" s="76" t="n">
        <v>3106</v>
      </c>
      <c r="F111" s="76" t="n">
        <v>2726</v>
      </c>
      <c r="G111" s="77" t="n">
        <v>0.8776561493882807</v>
      </c>
      <c r="H111" s="76" t="n">
        <v>1960</v>
      </c>
      <c r="I111" s="78" t="n">
        <v>0.6310367031551836</v>
      </c>
      <c r="J111" s="76" t="n">
        <v>4181</v>
      </c>
      <c r="K111" s="76" t="n">
        <v>4099</v>
      </c>
      <c r="L111" s="77" t="n">
        <v>0.98</v>
      </c>
      <c r="M111" s="76" t="n">
        <v>16966</v>
      </c>
      <c r="N111" s="76" t="n">
        <v>16283</v>
      </c>
      <c r="O111" s="76" t="n">
        <v>16688</v>
      </c>
      <c r="P111" s="77" t="n">
        <v>0.983614287398326</v>
      </c>
      <c r="Q111" s="76" t="n">
        <v>62</v>
      </c>
      <c r="R111" s="76" t="n">
        <v>0</v>
      </c>
      <c r="S111" s="76" t="n">
        <v>0</v>
      </c>
      <c r="T111" s="77" t="n">
        <v>0</v>
      </c>
      <c r="U111" s="76" t="n">
        <v>0</v>
      </c>
      <c r="V111" s="77" t="n">
        <v>0</v>
      </c>
      <c r="W111" s="76" t="n">
        <v>3325</v>
      </c>
      <c r="X111" s="77" t="n">
        <v>1.070508692852544</v>
      </c>
      <c r="Y111" s="76" t="n">
        <v>1270</v>
      </c>
      <c r="Z111" s="79" t="n">
        <v>0.4088860270444301</v>
      </c>
      <c r="AA111" s="76" t="n">
        <v>61</v>
      </c>
      <c r="AB111" s="77" t="n">
        <v>0.01963940759819704</v>
      </c>
      <c r="AC111" s="76" t="n">
        <v>465</v>
      </c>
      <c r="AD111" s="77" t="n">
        <v>0.1497102382485512</v>
      </c>
      <c r="AE111" s="76" t="n">
        <v>74</v>
      </c>
      <c r="AF111" s="77" t="n">
        <v>0.1591397849462366</v>
      </c>
      <c r="AG111" s="76" t="n">
        <v>417</v>
      </c>
      <c r="AH111" s="77" t="n">
        <v>0.8967741935483871</v>
      </c>
      <c r="AI111" s="80" t="n">
        <v>505</v>
      </c>
      <c r="AJ111" s="77" t="n">
        <v>0.1625885383129427</v>
      </c>
      <c r="AK111" s="80" t="n">
        <v>3</v>
      </c>
      <c r="AL111" s="77" t="n">
        <v>0.9247524752475248</v>
      </c>
      <c r="AM111" s="80" t="n">
        <v>503</v>
      </c>
      <c r="AN111" s="80" t="n">
        <v>467</v>
      </c>
      <c r="AO111" s="77" t="n">
        <v>0.1503541532517708</v>
      </c>
      <c r="AP111" s="77" t="n">
        <v>1.004301075268817</v>
      </c>
      <c r="AQ111" s="78" t="n">
        <v>0.955177743431221</v>
      </c>
      <c r="AR111" s="80" t="n">
        <v>0</v>
      </c>
      <c r="AS111" s="80" t="n">
        <v>0</v>
      </c>
      <c r="AT111" s="80" t="n">
        <v>63</v>
      </c>
      <c r="AU111" s="80" t="n">
        <v>57</v>
      </c>
      <c r="AV111" s="80" t="n">
        <v>58</v>
      </c>
      <c r="AW111" s="80" t="n">
        <v>92</v>
      </c>
      <c r="AX111" s="77" t="n">
        <v>0.01835157759175789</v>
      </c>
      <c r="AY111" s="77" t="n">
        <v>0.01867353509336768</v>
      </c>
      <c r="AZ111" s="77" t="n">
        <v>0.02962009014810045</v>
      </c>
      <c r="BA111" s="77" t="n">
        <v>0.1241970021413276</v>
      </c>
      <c r="BB111" s="80" t="n">
        <v>0</v>
      </c>
      <c r="BC111" s="80" t="n">
        <v>0</v>
      </c>
      <c r="BD111" s="78" t="n">
        <v>0.9880952380952381</v>
      </c>
      <c r="BE111" s="78" t="n">
        <v>1</v>
      </c>
      <c r="BF111" s="78" t="inlineStr">
        <is>
          <t>-</t>
        </is>
      </c>
    </row>
    <row r="112" ht="19.55" customHeight="1">
      <c r="A112" s="81" t="n">
        <v>109</v>
      </c>
      <c r="B112" s="76" t="inlineStr">
        <is>
          <t>全国</t>
        </is>
      </c>
      <c r="C112" s="82" t="n">
        <v>46140</v>
      </c>
      <c r="D112" s="76" t="inlineStr">
        <is>
          <t>N6</t>
        </is>
      </c>
      <c r="E112" s="76" t="n">
        <v>3028</v>
      </c>
      <c r="F112" s="76" t="n">
        <v>2633</v>
      </c>
      <c r="G112" s="77" t="n">
        <v>0.869550858652576</v>
      </c>
      <c r="H112" s="76" t="n">
        <v>1469</v>
      </c>
      <c r="I112" s="78" t="n">
        <v>0.4851387054161163</v>
      </c>
      <c r="J112" s="76" t="n">
        <v>3640</v>
      </c>
      <c r="K112" s="76" t="n">
        <v>3541</v>
      </c>
      <c r="L112" s="77" t="n">
        <v>0.973</v>
      </c>
      <c r="M112" s="76" t="n">
        <v>10653</v>
      </c>
      <c r="N112" s="76" t="n">
        <v>10835</v>
      </c>
      <c r="O112" s="76" t="n">
        <v>10416</v>
      </c>
      <c r="P112" s="77" t="n">
        <v>0.9777527457054351</v>
      </c>
      <c r="Q112" s="76" t="n">
        <v>30</v>
      </c>
      <c r="R112" s="76" t="n">
        <v>0</v>
      </c>
      <c r="S112" s="76" t="n">
        <v>0</v>
      </c>
      <c r="T112" s="77" t="n">
        <v>0</v>
      </c>
      <c r="U112" s="76" t="n">
        <v>0</v>
      </c>
      <c r="V112" s="77" t="n">
        <v>0</v>
      </c>
      <c r="W112" s="76" t="n">
        <v>2346</v>
      </c>
      <c r="X112" s="77" t="n">
        <v>0.7747688243064729</v>
      </c>
      <c r="Y112" s="76" t="n">
        <v>674</v>
      </c>
      <c r="Z112" s="79" t="n">
        <v>0.2225891677675033</v>
      </c>
      <c r="AA112" s="76" t="n">
        <v>41</v>
      </c>
      <c r="AB112" s="77" t="n">
        <v>0.01354029062087186</v>
      </c>
      <c r="AC112" s="76" t="n">
        <v>171</v>
      </c>
      <c r="AD112" s="77" t="n">
        <v>0.05647291941875825</v>
      </c>
      <c r="AE112" s="76" t="n">
        <v>32</v>
      </c>
      <c r="AF112" s="77" t="n">
        <v>0.1871345029239766</v>
      </c>
      <c r="AG112" s="76" t="n">
        <v>146</v>
      </c>
      <c r="AH112" s="77" t="n">
        <v>0.8538011695906432</v>
      </c>
      <c r="AI112" s="80" t="n">
        <v>177</v>
      </c>
      <c r="AJ112" s="77" t="n">
        <v>0.05845442536327609</v>
      </c>
      <c r="AK112" s="80" t="n">
        <v>1</v>
      </c>
      <c r="AL112" s="77" t="n">
        <v>0.847457627118644</v>
      </c>
      <c r="AM112" s="80" t="n">
        <v>175</v>
      </c>
      <c r="AN112" s="80" t="n">
        <v>150</v>
      </c>
      <c r="AO112" s="77" t="n">
        <v>0.04953764861294584</v>
      </c>
      <c r="AP112" s="77" t="n">
        <v>0.8771929824561403</v>
      </c>
      <c r="AQ112" s="78" t="n">
        <v>1</v>
      </c>
      <c r="AR112" s="80" t="n">
        <v>0</v>
      </c>
      <c r="AS112" s="80" t="n">
        <v>0</v>
      </c>
      <c r="AT112" s="80" t="n">
        <v>52</v>
      </c>
      <c r="AU112" s="80" t="n">
        <v>43</v>
      </c>
      <c r="AV112" s="80" t="n">
        <v>44</v>
      </c>
      <c r="AW112" s="80" t="n">
        <v>80</v>
      </c>
      <c r="AX112" s="77" t="n">
        <v>0.01420079260237781</v>
      </c>
      <c r="AY112" s="77" t="n">
        <v>0.01453104359313078</v>
      </c>
      <c r="AZ112" s="77" t="n">
        <v>0.02642007926023778</v>
      </c>
      <c r="BA112" s="77" t="n">
        <v>0.2933333333333333</v>
      </c>
      <c r="BB112" s="80" t="n">
        <v>0</v>
      </c>
      <c r="BC112" s="80" t="n">
        <v>0</v>
      </c>
      <c r="BD112" s="78" t="n">
        <v>1</v>
      </c>
      <c r="BE112" s="78" t="n">
        <v>1</v>
      </c>
      <c r="BF112" s="78" t="inlineStr">
        <is>
          <t>-</t>
        </is>
      </c>
    </row>
    <row r="113" ht="19.55" customHeight="1">
      <c r="A113" s="81" t="n">
        <v>110</v>
      </c>
      <c r="B113" s="76" t="inlineStr">
        <is>
          <t>全国</t>
        </is>
      </c>
      <c r="C113" s="82" t="n">
        <v>46140</v>
      </c>
      <c r="D113" s="76" t="inlineStr">
        <is>
          <t>N7</t>
        </is>
      </c>
      <c r="E113" s="76" t="n">
        <v>1683</v>
      </c>
      <c r="F113" s="76" t="n">
        <v>1505</v>
      </c>
      <c r="G113" s="77" t="n">
        <v>0.8942364824717766</v>
      </c>
      <c r="H113" s="76" t="n">
        <v>478</v>
      </c>
      <c r="I113" s="78" t="n">
        <v>0.2840166369578134</v>
      </c>
      <c r="J113" s="76" t="n">
        <v>1638</v>
      </c>
      <c r="K113" s="76" t="n">
        <v>1585</v>
      </c>
      <c r="L113" s="77" t="n">
        <v>0.968</v>
      </c>
      <c r="M113" s="76" t="n">
        <v>8299</v>
      </c>
      <c r="N113" s="76" t="n">
        <v>8142</v>
      </c>
      <c r="O113" s="76" t="n">
        <v>8112</v>
      </c>
      <c r="P113" s="77" t="n">
        <v>0.9774671647186408</v>
      </c>
      <c r="Q113" s="76" t="n">
        <v>26</v>
      </c>
      <c r="R113" s="76" t="n">
        <v>0</v>
      </c>
      <c r="S113" s="76" t="n">
        <v>0</v>
      </c>
      <c r="T113" s="77" t="n">
        <v>0</v>
      </c>
      <c r="U113" s="76" t="n">
        <v>0</v>
      </c>
      <c r="V113" s="77" t="n">
        <v>0</v>
      </c>
      <c r="W113" s="76" t="n">
        <v>2400</v>
      </c>
      <c r="X113" s="77" t="n">
        <v>1.42602495543672</v>
      </c>
      <c r="Y113" s="76" t="n">
        <v>612</v>
      </c>
      <c r="Z113" s="79" t="n">
        <v>0.3636363636363636</v>
      </c>
      <c r="AA113" s="76" t="n">
        <v>20</v>
      </c>
      <c r="AB113" s="77" t="n">
        <v>0.011883541295306</v>
      </c>
      <c r="AC113" s="76" t="n">
        <v>175</v>
      </c>
      <c r="AD113" s="77" t="n">
        <v>0.1039809863339275</v>
      </c>
      <c r="AE113" s="76" t="n">
        <v>49</v>
      </c>
      <c r="AF113" s="77" t="n">
        <v>0.28</v>
      </c>
      <c r="AG113" s="76" t="n">
        <v>154</v>
      </c>
      <c r="AH113" s="77" t="n">
        <v>0.88</v>
      </c>
      <c r="AI113" s="80" t="n">
        <v>164</v>
      </c>
      <c r="AJ113" s="77" t="n">
        <v>0.0974450386215092</v>
      </c>
      <c r="AK113" s="80" t="n">
        <v>0</v>
      </c>
      <c r="AL113" s="77" t="n">
        <v>0.8902439024390244</v>
      </c>
      <c r="AM113" s="80" t="n">
        <v>163</v>
      </c>
      <c r="AN113" s="80" t="n">
        <v>146</v>
      </c>
      <c r="AO113" s="77" t="n">
        <v>0.08674985145573381</v>
      </c>
      <c r="AP113" s="77" t="n">
        <v>0.8342857142857143</v>
      </c>
      <c r="AQ113" s="78" t="n">
        <v>0.9859154929577465</v>
      </c>
      <c r="AR113" s="80" t="n">
        <v>0</v>
      </c>
      <c r="AS113" s="80" t="n">
        <v>0</v>
      </c>
      <c r="AT113" s="80" t="n">
        <v>50</v>
      </c>
      <c r="AU113" s="80" t="n">
        <v>47</v>
      </c>
      <c r="AV113" s="80" t="n">
        <v>45</v>
      </c>
      <c r="AW113" s="80" t="n">
        <v>70</v>
      </c>
      <c r="AX113" s="77" t="n">
        <v>0.0279263220439691</v>
      </c>
      <c r="AY113" s="77" t="n">
        <v>0.0267379679144385</v>
      </c>
      <c r="AZ113" s="77" t="n">
        <v>0.041592394533571</v>
      </c>
      <c r="BA113" s="77" t="n">
        <v>0.3082191780821918</v>
      </c>
      <c r="BB113" s="80" t="n">
        <v>0</v>
      </c>
      <c r="BC113" s="80" t="n">
        <v>0</v>
      </c>
      <c r="BD113" s="78" t="n">
        <v>0.9090909090909091</v>
      </c>
      <c r="BE113" s="78" t="n">
        <v>1</v>
      </c>
      <c r="BF113" s="78" t="inlineStr">
        <is>
          <t>-</t>
        </is>
      </c>
    </row>
    <row r="114" ht="19.55" customHeight="1">
      <c r="A114" s="81" t="n">
        <v>111</v>
      </c>
      <c r="B114" s="76" t="inlineStr">
        <is>
          <t>全国</t>
        </is>
      </c>
      <c r="C114" s="82" t="n">
        <v>46140</v>
      </c>
      <c r="D114" s="76" t="inlineStr">
        <is>
          <t>NX8</t>
        </is>
      </c>
      <c r="E114" s="76" t="n">
        <v>8688</v>
      </c>
      <c r="F114" s="76" t="n">
        <v>7251</v>
      </c>
      <c r="G114" s="77" t="n">
        <v>0.8345994475138122</v>
      </c>
      <c r="H114" s="76" t="n">
        <v>1827</v>
      </c>
      <c r="I114" s="78" t="n">
        <v>0.2102900552486188</v>
      </c>
      <c r="J114" s="76" t="n">
        <v>6423</v>
      </c>
      <c r="K114" s="76" t="n">
        <v>6293</v>
      </c>
      <c r="L114" s="77" t="n">
        <v>0.98</v>
      </c>
      <c r="M114" s="76" t="n">
        <v>24502</v>
      </c>
      <c r="N114" s="76" t="n">
        <v>25060</v>
      </c>
      <c r="O114" s="76" t="n">
        <v>24081</v>
      </c>
      <c r="P114" s="77" t="n">
        <v>0.9828177291649661</v>
      </c>
      <c r="Q114" s="76" t="n">
        <v>61</v>
      </c>
      <c r="R114" s="76" t="n">
        <v>0</v>
      </c>
      <c r="S114" s="76" t="n">
        <v>0</v>
      </c>
      <c r="T114" s="77" t="n">
        <v>0</v>
      </c>
      <c r="U114" s="76" t="n">
        <v>0</v>
      </c>
      <c r="V114" s="77" t="n">
        <v>0</v>
      </c>
      <c r="W114" s="76" t="n">
        <v>1961</v>
      </c>
      <c r="X114" s="77" t="n">
        <v>0.2257136279926335</v>
      </c>
      <c r="Y114" s="76" t="n">
        <v>2067</v>
      </c>
      <c r="Z114" s="79" t="n">
        <v>0.237914364640884</v>
      </c>
      <c r="AA114" s="76" t="n">
        <v>5</v>
      </c>
      <c r="AB114" s="77" t="n">
        <v>0.0005755064456721916</v>
      </c>
      <c r="AC114" s="76" t="n">
        <v>962</v>
      </c>
      <c r="AD114" s="77" t="n">
        <v>0.1107274401473296</v>
      </c>
      <c r="AE114" s="76" t="n">
        <v>187</v>
      </c>
      <c r="AF114" s="77" t="n">
        <v>0.1943866943866944</v>
      </c>
      <c r="AG114" s="76" t="n">
        <v>809</v>
      </c>
      <c r="AH114" s="77" t="n">
        <v>0.840956340956341</v>
      </c>
      <c r="AI114" s="80" t="n">
        <v>936</v>
      </c>
      <c r="AJ114" s="77" t="n">
        <v>0.1077348066298343</v>
      </c>
      <c r="AK114" s="80" t="n">
        <v>8</v>
      </c>
      <c r="AL114" s="77" t="n">
        <v>0.9038461538461539</v>
      </c>
      <c r="AM114" s="80" t="n">
        <v>936</v>
      </c>
      <c r="AN114" s="80" t="n">
        <v>846</v>
      </c>
      <c r="AO114" s="77" t="n">
        <v>0.09737569060773481</v>
      </c>
      <c r="AP114" s="77" t="n">
        <v>0.8794178794178794</v>
      </c>
      <c r="AQ114" s="78" t="n">
        <v>0.9826707441386341</v>
      </c>
      <c r="AR114" s="80" t="n">
        <v>0</v>
      </c>
      <c r="AS114" s="80" t="n">
        <v>0</v>
      </c>
      <c r="AT114" s="80" t="n">
        <v>160</v>
      </c>
      <c r="AU114" s="80" t="n">
        <v>142</v>
      </c>
      <c r="AV114" s="80" t="n">
        <v>142</v>
      </c>
      <c r="AW114" s="80" t="n">
        <v>127</v>
      </c>
      <c r="AX114" s="77" t="n">
        <v>0.01634438305709024</v>
      </c>
      <c r="AY114" s="77" t="n">
        <v>0.01634438305709024</v>
      </c>
      <c r="AZ114" s="77" t="n">
        <v>0.01461786372007367</v>
      </c>
      <c r="BA114" s="77" t="n">
        <v>0.1678486997635934</v>
      </c>
      <c r="BB114" s="80" t="n">
        <v>0</v>
      </c>
      <c r="BC114" s="80" t="n">
        <v>1</v>
      </c>
      <c r="BD114" s="78" t="n">
        <v>0.9720670391061452</v>
      </c>
      <c r="BE114" s="78" t="n">
        <v>1</v>
      </c>
      <c r="BF114" s="78" t="inlineStr">
        <is>
          <t>-</t>
        </is>
      </c>
    </row>
    <row r="115" ht="19.55" customHeight="1">
      <c r="A115" s="81" t="n">
        <v>112</v>
      </c>
      <c r="B115" s="76" t="inlineStr">
        <is>
          <t>全国</t>
        </is>
      </c>
      <c r="C115" s="82" t="n">
        <v>46140</v>
      </c>
      <c r="D115" s="76" t="inlineStr">
        <is>
          <t>天籁·鸿蒙座舱</t>
        </is>
      </c>
      <c r="E115" s="76" t="n">
        <v>2426</v>
      </c>
      <c r="F115" s="76" t="n">
        <v>2201</v>
      </c>
      <c r="G115" s="77" t="n">
        <v>0.9072547403132729</v>
      </c>
      <c r="H115" s="76" t="n">
        <v>1122</v>
      </c>
      <c r="I115" s="78" t="n">
        <v>0.4624896949711459</v>
      </c>
      <c r="J115" s="76" t="n">
        <v>2535</v>
      </c>
      <c r="K115" s="76" t="n">
        <v>2465</v>
      </c>
      <c r="L115" s="77" t="n">
        <v>0.972</v>
      </c>
      <c r="M115" s="76" t="n">
        <v>14694</v>
      </c>
      <c r="N115" s="76" t="n">
        <v>14456</v>
      </c>
      <c r="O115" s="76" t="n">
        <v>14416</v>
      </c>
      <c r="P115" s="77" t="n">
        <v>0.9810807132162788</v>
      </c>
      <c r="Q115" s="76" t="n">
        <v>53</v>
      </c>
      <c r="R115" s="76" t="n">
        <v>0</v>
      </c>
      <c r="S115" s="76" t="n">
        <v>0</v>
      </c>
      <c r="T115" s="77" t="n">
        <v>0</v>
      </c>
      <c r="U115" s="76" t="n">
        <v>0</v>
      </c>
      <c r="V115" s="77" t="n">
        <v>0</v>
      </c>
      <c r="W115" s="76" t="n">
        <v>2534</v>
      </c>
      <c r="X115" s="77" t="n">
        <v>1.044517724649629</v>
      </c>
      <c r="Y115" s="76" t="n">
        <v>702</v>
      </c>
      <c r="Z115" s="79" t="n">
        <v>0.2893652102225886</v>
      </c>
      <c r="AA115" s="76" t="n">
        <v>68</v>
      </c>
      <c r="AB115" s="77" t="n">
        <v>0.02802967848309975</v>
      </c>
      <c r="AC115" s="76" t="n">
        <v>458</v>
      </c>
      <c r="AD115" s="77" t="n">
        <v>0.1887881286067601</v>
      </c>
      <c r="AE115" s="76" t="n">
        <v>56</v>
      </c>
      <c r="AF115" s="77" t="n">
        <v>0.1222707423580786</v>
      </c>
      <c r="AG115" s="76" t="n">
        <v>384</v>
      </c>
      <c r="AH115" s="77" t="n">
        <v>0.8384279475982532</v>
      </c>
      <c r="AI115" s="80" t="n">
        <v>463</v>
      </c>
      <c r="AJ115" s="77" t="n">
        <v>0.1908491343775763</v>
      </c>
      <c r="AK115" s="80" t="n">
        <v>1</v>
      </c>
      <c r="AL115" s="77" t="n">
        <v>0.9265658747300216</v>
      </c>
      <c r="AM115" s="80" t="n">
        <v>463</v>
      </c>
      <c r="AN115" s="80" t="n">
        <v>429</v>
      </c>
      <c r="AO115" s="77" t="n">
        <v>0.1768342951360264</v>
      </c>
      <c r="AP115" s="77" t="n">
        <v>0.9366812227074236</v>
      </c>
      <c r="AQ115" s="78" t="n">
        <v>0.9481327800829875</v>
      </c>
      <c r="AR115" s="80" t="n">
        <v>0</v>
      </c>
      <c r="AS115" s="80" t="n">
        <v>0</v>
      </c>
      <c r="AT115" s="80" t="n">
        <v>72</v>
      </c>
      <c r="AU115" s="80" t="n">
        <v>65</v>
      </c>
      <c r="AV115" s="80" t="n">
        <v>70</v>
      </c>
      <c r="AW115" s="80" t="n">
        <v>100</v>
      </c>
      <c r="AX115" s="77" t="n">
        <v>0.02679307502061006</v>
      </c>
      <c r="AY115" s="77" t="n">
        <v>0.02885408079142622</v>
      </c>
      <c r="AZ115" s="77" t="n">
        <v>0.04122011541632317</v>
      </c>
      <c r="BA115" s="77" t="n">
        <v>0.1631701631701632</v>
      </c>
      <c r="BB115" s="80" t="n">
        <v>0</v>
      </c>
      <c r="BC115" s="80" t="n">
        <v>0</v>
      </c>
      <c r="BD115" s="78" t="n">
        <v>1</v>
      </c>
      <c r="BE115" s="78" t="n">
        <v>1</v>
      </c>
      <c r="BF115" s="78" t="inlineStr">
        <is>
          <t>-</t>
        </is>
      </c>
    </row>
    <row r="116" ht="19.55" customHeight="1">
      <c r="A116" s="81" t="n">
        <v>113</v>
      </c>
      <c r="B116" s="76" t="inlineStr">
        <is>
          <t>全国</t>
        </is>
      </c>
      <c r="C116" s="82" t="n">
        <v>46141</v>
      </c>
      <c r="D116" s="76" t="inlineStr">
        <is>
          <t>N6</t>
        </is>
      </c>
      <c r="E116" s="76" t="n">
        <v>2292</v>
      </c>
      <c r="F116" s="76" t="n">
        <v>2052</v>
      </c>
      <c r="G116" s="77" t="n">
        <v>0.8952879581151832</v>
      </c>
      <c r="H116" s="76" t="n">
        <v>1016</v>
      </c>
      <c r="I116" s="78" t="n">
        <v>0.4432809773123909</v>
      </c>
      <c r="J116" s="76" t="n">
        <v>2208</v>
      </c>
      <c r="K116" s="76" t="n">
        <v>2140</v>
      </c>
      <c r="L116" s="77" t="n">
        <v>0.969</v>
      </c>
      <c r="M116" s="76" t="n">
        <v>9550</v>
      </c>
      <c r="N116" s="76" t="n">
        <v>9390</v>
      </c>
      <c r="O116" s="76" t="n">
        <v>9335</v>
      </c>
      <c r="P116" s="77" t="n">
        <v>0.9774869109947644</v>
      </c>
      <c r="Q116" s="76" t="n">
        <v>45</v>
      </c>
      <c r="R116" s="76" t="n">
        <v>0</v>
      </c>
      <c r="S116" s="76" t="n">
        <v>0</v>
      </c>
      <c r="T116" s="77" t="n">
        <v>0</v>
      </c>
      <c r="U116" s="76" t="n">
        <v>0</v>
      </c>
      <c r="V116" s="77" t="n">
        <v>0</v>
      </c>
      <c r="W116" s="76" t="n">
        <v>1741</v>
      </c>
      <c r="X116" s="77" t="n">
        <v>0.7595986038394416</v>
      </c>
      <c r="Y116" s="76" t="n">
        <v>749</v>
      </c>
      <c r="Z116" s="79" t="n">
        <v>0.3267888307155323</v>
      </c>
      <c r="AA116" s="76" t="n">
        <v>44</v>
      </c>
      <c r="AB116" s="77" t="n">
        <v>0.01919720767888307</v>
      </c>
      <c r="AC116" s="76" t="n">
        <v>204</v>
      </c>
      <c r="AD116" s="77" t="n">
        <v>0.08900523560209424</v>
      </c>
      <c r="AE116" s="76" t="n">
        <v>19</v>
      </c>
      <c r="AF116" s="77" t="n">
        <v>0.09313725490196079</v>
      </c>
      <c r="AG116" s="76" t="n">
        <v>177</v>
      </c>
      <c r="AH116" s="77" t="n">
        <v>0.8676470588235294</v>
      </c>
      <c r="AI116" s="80" t="n">
        <v>203</v>
      </c>
      <c r="AJ116" s="77" t="n">
        <v>0.08856893542757417</v>
      </c>
      <c r="AK116" s="80" t="n">
        <v>0</v>
      </c>
      <c r="AL116" s="77" t="n">
        <v>0.8472906403940886</v>
      </c>
      <c r="AM116" s="80" t="n">
        <v>193</v>
      </c>
      <c r="AN116" s="80" t="n">
        <v>172</v>
      </c>
      <c r="AO116" s="77" t="n">
        <v>0.07504363001745201</v>
      </c>
      <c r="AP116" s="77" t="n">
        <v>0.8431372549019608</v>
      </c>
      <c r="AQ116" s="78" t="n">
        <v>0.9813664596273292</v>
      </c>
      <c r="AR116" s="80" t="n">
        <v>0</v>
      </c>
      <c r="AS116" s="80" t="n">
        <v>0</v>
      </c>
      <c r="AT116" s="80" t="n">
        <v>53</v>
      </c>
      <c r="AU116" s="80" t="n">
        <v>46</v>
      </c>
      <c r="AV116" s="80" t="n">
        <v>46</v>
      </c>
      <c r="AW116" s="80" t="n">
        <v>81</v>
      </c>
      <c r="AX116" s="77" t="n">
        <v>0.02006980802792321</v>
      </c>
      <c r="AY116" s="77" t="n">
        <v>0.02006980802792321</v>
      </c>
      <c r="AZ116" s="77" t="n">
        <v>0.03534031413612566</v>
      </c>
      <c r="BA116" s="77" t="n">
        <v>0.2674418604651163</v>
      </c>
      <c r="BB116" s="80" t="n">
        <v>0</v>
      </c>
      <c r="BC116" s="80" t="n">
        <v>1</v>
      </c>
      <c r="BD116" s="78" t="n">
        <v>0.9166666666666666</v>
      </c>
      <c r="BE116" s="78" t="n">
        <v>1</v>
      </c>
      <c r="BF116" s="78" t="inlineStr">
        <is>
          <t>-</t>
        </is>
      </c>
    </row>
    <row r="117" ht="19.55" customHeight="1">
      <c r="A117" s="81" t="n">
        <v>114</v>
      </c>
      <c r="B117" s="76" t="inlineStr">
        <is>
          <t>全国</t>
        </is>
      </c>
      <c r="C117" s="82" t="n">
        <v>46141</v>
      </c>
      <c r="D117" s="76" t="inlineStr">
        <is>
          <t>N7</t>
        </is>
      </c>
      <c r="E117" s="76" t="n">
        <v>1802</v>
      </c>
      <c r="F117" s="76" t="n">
        <v>1610</v>
      </c>
      <c r="G117" s="77" t="n">
        <v>0.8934517203107658</v>
      </c>
      <c r="H117" s="76" t="n">
        <v>599</v>
      </c>
      <c r="I117" s="78" t="n">
        <v>0.3324084350721421</v>
      </c>
      <c r="J117" s="76" t="n">
        <v>1652</v>
      </c>
      <c r="K117" s="76" t="n">
        <v>1595</v>
      </c>
      <c r="L117" s="77" t="n">
        <v>0.965</v>
      </c>
      <c r="M117" s="76" t="n">
        <v>8018</v>
      </c>
      <c r="N117" s="76" t="n">
        <v>8224</v>
      </c>
      <c r="O117" s="76" t="n">
        <v>7845</v>
      </c>
      <c r="P117" s="77" t="n">
        <v>0.9784235470192068</v>
      </c>
      <c r="Q117" s="76" t="n">
        <v>48</v>
      </c>
      <c r="R117" s="76" t="n">
        <v>0</v>
      </c>
      <c r="S117" s="76" t="n">
        <v>0</v>
      </c>
      <c r="T117" s="77" t="n">
        <v>0</v>
      </c>
      <c r="U117" s="76" t="n">
        <v>0</v>
      </c>
      <c r="V117" s="77" t="n">
        <v>0</v>
      </c>
      <c r="W117" s="76" t="n">
        <v>1812</v>
      </c>
      <c r="X117" s="77" t="n">
        <v>1.005549389567148</v>
      </c>
      <c r="Y117" s="76" t="n">
        <v>801</v>
      </c>
      <c r="Z117" s="79" t="n">
        <v>0.4445061043285239</v>
      </c>
      <c r="AA117" s="76" t="n">
        <v>15</v>
      </c>
      <c r="AB117" s="77" t="n">
        <v>0.008324084350721421</v>
      </c>
      <c r="AC117" s="76" t="n">
        <v>205</v>
      </c>
      <c r="AD117" s="77" t="n">
        <v>0.1137624861265261</v>
      </c>
      <c r="AE117" s="76" t="n">
        <v>45</v>
      </c>
      <c r="AF117" s="77" t="n">
        <v>0.2195121951219512</v>
      </c>
      <c r="AG117" s="76" t="n">
        <v>177</v>
      </c>
      <c r="AH117" s="77" t="n">
        <v>0.8634146341463415</v>
      </c>
      <c r="AI117" s="80" t="n">
        <v>213</v>
      </c>
      <c r="AJ117" s="77" t="n">
        <v>0.1182019977802442</v>
      </c>
      <c r="AK117" s="80" t="n">
        <v>3</v>
      </c>
      <c r="AL117" s="77" t="n">
        <v>0.8262910798122066</v>
      </c>
      <c r="AM117" s="80" t="n">
        <v>208</v>
      </c>
      <c r="AN117" s="80" t="n">
        <v>176</v>
      </c>
      <c r="AO117" s="77" t="n">
        <v>0.09766925638179801</v>
      </c>
      <c r="AP117" s="77" t="n">
        <v>0.8585365853658536</v>
      </c>
      <c r="AQ117" s="78" t="n">
        <v>0.9868421052631579</v>
      </c>
      <c r="AR117" s="80" t="n">
        <v>0</v>
      </c>
      <c r="AS117" s="80" t="n">
        <v>0</v>
      </c>
      <c r="AT117" s="80" t="n">
        <v>54</v>
      </c>
      <c r="AU117" s="80" t="n">
        <v>39</v>
      </c>
      <c r="AV117" s="80" t="n">
        <v>38</v>
      </c>
      <c r="AW117" s="80" t="n">
        <v>73</v>
      </c>
      <c r="AX117" s="77" t="n">
        <v>0.02164261931187569</v>
      </c>
      <c r="AY117" s="77" t="n">
        <v>0.02108768035516093</v>
      </c>
      <c r="AZ117" s="77" t="n">
        <v>0.04051054384017758</v>
      </c>
      <c r="BA117" s="77" t="n">
        <v>0.2159090909090909</v>
      </c>
      <c r="BB117" s="80" t="n">
        <v>0</v>
      </c>
      <c r="BC117" s="80" t="n">
        <v>1</v>
      </c>
      <c r="BD117" s="78" t="n">
        <v>1</v>
      </c>
      <c r="BE117" s="78" t="n">
        <v>0.6666666666666666</v>
      </c>
      <c r="BF117" s="78" t="inlineStr">
        <is>
          <t>-</t>
        </is>
      </c>
    </row>
    <row r="118" ht="19.55" customHeight="1">
      <c r="A118" s="81" t="n">
        <v>115</v>
      </c>
      <c r="B118" s="76" t="inlineStr">
        <is>
          <t>全国</t>
        </is>
      </c>
      <c r="C118" s="82" t="n">
        <v>46141</v>
      </c>
      <c r="D118" s="76" t="inlineStr">
        <is>
          <t>NX8</t>
        </is>
      </c>
      <c r="E118" s="76" t="n">
        <v>10198</v>
      </c>
      <c r="F118" s="76" t="n">
        <v>8453</v>
      </c>
      <c r="G118" s="77" t="n">
        <v>0.828888017258286</v>
      </c>
      <c r="H118" s="76" t="n">
        <v>2169</v>
      </c>
      <c r="I118" s="78" t="n">
        <v>0.2126887625024515</v>
      </c>
      <c r="J118" s="76" t="n">
        <v>9541</v>
      </c>
      <c r="K118" s="76" t="n">
        <v>9233</v>
      </c>
      <c r="L118" s="77" t="n">
        <v>0.968</v>
      </c>
      <c r="M118" s="76" t="n">
        <v>28158</v>
      </c>
      <c r="N118" s="76" t="n">
        <v>29085</v>
      </c>
      <c r="O118" s="76" t="n">
        <v>27520</v>
      </c>
      <c r="P118" s="77" t="n">
        <v>0.9773421407770438</v>
      </c>
      <c r="Q118" s="76" t="n">
        <v>222</v>
      </c>
      <c r="R118" s="76" t="n">
        <v>0</v>
      </c>
      <c r="S118" s="76" t="n">
        <v>0</v>
      </c>
      <c r="T118" s="77" t="n">
        <v>0</v>
      </c>
      <c r="U118" s="76" t="n">
        <v>0</v>
      </c>
      <c r="V118" s="77" t="n">
        <v>0</v>
      </c>
      <c r="W118" s="76" t="n">
        <v>1994</v>
      </c>
      <c r="X118" s="77" t="n">
        <v>0.1955285350068641</v>
      </c>
      <c r="Y118" s="76" t="n">
        <v>4918</v>
      </c>
      <c r="Z118" s="79" t="n">
        <v>0.482251421847421</v>
      </c>
      <c r="AA118" s="76" t="n">
        <v>5</v>
      </c>
      <c r="AB118" s="77" t="n">
        <v>0.0004902922141596392</v>
      </c>
      <c r="AC118" s="76" t="n">
        <v>995</v>
      </c>
      <c r="AD118" s="77" t="n">
        <v>0.09756815061776819</v>
      </c>
      <c r="AE118" s="76" t="n">
        <v>203</v>
      </c>
      <c r="AF118" s="77" t="n">
        <v>0.2040201005025126</v>
      </c>
      <c r="AG118" s="76" t="n">
        <v>883</v>
      </c>
      <c r="AH118" s="77" t="n">
        <v>0.8874371859296483</v>
      </c>
      <c r="AI118" s="80" t="n">
        <v>985</v>
      </c>
      <c r="AJ118" s="77" t="n">
        <v>0.09658756618944891</v>
      </c>
      <c r="AK118" s="80" t="n">
        <v>3</v>
      </c>
      <c r="AL118" s="77" t="n">
        <v>0.9228426395939087</v>
      </c>
      <c r="AM118" s="80" t="n">
        <v>980</v>
      </c>
      <c r="AN118" s="80" t="n">
        <v>909</v>
      </c>
      <c r="AO118" s="77" t="n">
        <v>0.0891351245342224</v>
      </c>
      <c r="AP118" s="77" t="n">
        <v>0.9135678391959799</v>
      </c>
      <c r="AQ118" s="78" t="n">
        <v>0.9481081081081081</v>
      </c>
      <c r="AR118" s="80" t="n">
        <v>0</v>
      </c>
      <c r="AS118" s="80" t="n">
        <v>0</v>
      </c>
      <c r="AT118" s="80" t="n">
        <v>178</v>
      </c>
      <c r="AU118" s="80" t="n">
        <v>159</v>
      </c>
      <c r="AV118" s="80" t="n">
        <v>160</v>
      </c>
      <c r="AW118" s="80" t="n">
        <v>135</v>
      </c>
      <c r="AX118" s="77" t="n">
        <v>0.01559129241027652</v>
      </c>
      <c r="AY118" s="77" t="n">
        <v>0.01568935085310845</v>
      </c>
      <c r="AZ118" s="77" t="n">
        <v>0.01323788978231026</v>
      </c>
      <c r="BA118" s="77" t="n">
        <v>0.176017601760176</v>
      </c>
      <c r="BB118" s="80" t="n">
        <v>0</v>
      </c>
      <c r="BC118" s="80" t="n">
        <v>1</v>
      </c>
      <c r="BD118" s="78" t="n">
        <v>0.974025974025974</v>
      </c>
      <c r="BE118" s="78" t="n">
        <v>1</v>
      </c>
      <c r="BF118" s="78" t="inlineStr">
        <is>
          <t>-</t>
        </is>
      </c>
    </row>
    <row r="119" ht="19.55" customHeight="1">
      <c r="A119" s="81" t="n">
        <v>116</v>
      </c>
      <c r="B119" s="76" t="inlineStr">
        <is>
          <t>全国</t>
        </is>
      </c>
      <c r="C119" s="82" t="n">
        <v>46141</v>
      </c>
      <c r="D119" s="76" t="inlineStr">
        <is>
          <t>天籁·鸿蒙座舱</t>
        </is>
      </c>
      <c r="E119" s="76" t="n">
        <v>2415</v>
      </c>
      <c r="F119" s="76" t="n">
        <v>2221</v>
      </c>
      <c r="G119" s="77" t="n">
        <v>0.9196687370600414</v>
      </c>
      <c r="H119" s="76" t="n">
        <v>1127</v>
      </c>
      <c r="I119" s="78" t="n">
        <v>0.4666666666666667</v>
      </c>
      <c r="J119" s="76" t="n">
        <v>2962</v>
      </c>
      <c r="K119" s="76" t="n">
        <v>2881</v>
      </c>
      <c r="L119" s="77" t="n">
        <v>0.973</v>
      </c>
      <c r="M119" s="76" t="n">
        <v>14564</v>
      </c>
      <c r="N119" s="76" t="n">
        <v>14389</v>
      </c>
      <c r="O119" s="76" t="n">
        <v>14287</v>
      </c>
      <c r="P119" s="77" t="n">
        <v>0.9809804998626751</v>
      </c>
      <c r="Q119" s="76" t="n">
        <v>73</v>
      </c>
      <c r="R119" s="76" t="n">
        <v>0</v>
      </c>
      <c r="S119" s="76" t="n">
        <v>0</v>
      </c>
      <c r="T119" s="77" t="n">
        <v>0</v>
      </c>
      <c r="U119" s="76" t="n">
        <v>0</v>
      </c>
      <c r="V119" s="77" t="n">
        <v>0</v>
      </c>
      <c r="W119" s="76" t="n">
        <v>2217</v>
      </c>
      <c r="X119" s="77" t="n">
        <v>0.9180124223602485</v>
      </c>
      <c r="Y119" s="76" t="n">
        <v>766</v>
      </c>
      <c r="Z119" s="79" t="n">
        <v>0.317184265010352</v>
      </c>
      <c r="AA119" s="76" t="n">
        <v>87</v>
      </c>
      <c r="AB119" s="77" t="n">
        <v>0.03602484472049689</v>
      </c>
      <c r="AC119" s="76" t="n">
        <v>447</v>
      </c>
      <c r="AD119" s="77" t="n">
        <v>0.1850931677018633</v>
      </c>
      <c r="AE119" s="76" t="n">
        <v>91</v>
      </c>
      <c r="AF119" s="77" t="n">
        <v>0.203579418344519</v>
      </c>
      <c r="AG119" s="76" t="n">
        <v>393</v>
      </c>
      <c r="AH119" s="77" t="n">
        <v>0.8791946308724832</v>
      </c>
      <c r="AI119" s="80" t="n">
        <v>466</v>
      </c>
      <c r="AJ119" s="77" t="n">
        <v>0.1929606625258799</v>
      </c>
      <c r="AK119" s="80" t="n">
        <v>0</v>
      </c>
      <c r="AL119" s="77" t="n">
        <v>0.9399141630901288</v>
      </c>
      <c r="AM119" s="80" t="n">
        <v>460</v>
      </c>
      <c r="AN119" s="80" t="n">
        <v>438</v>
      </c>
      <c r="AO119" s="77" t="n">
        <v>0.1813664596273292</v>
      </c>
      <c r="AP119" s="77" t="n">
        <v>0.9798657718120806</v>
      </c>
      <c r="AQ119" s="78" t="n">
        <v>0.9168591224018475</v>
      </c>
      <c r="AR119" s="80" t="n">
        <v>0</v>
      </c>
      <c r="AS119" s="80" t="n">
        <v>0</v>
      </c>
      <c r="AT119" s="80" t="n">
        <v>68</v>
      </c>
      <c r="AU119" s="80" t="n">
        <v>62</v>
      </c>
      <c r="AV119" s="80" t="n">
        <v>59</v>
      </c>
      <c r="AW119" s="80" t="n">
        <v>140</v>
      </c>
      <c r="AX119" s="77" t="n">
        <v>0.02567287784679089</v>
      </c>
      <c r="AY119" s="77" t="n">
        <v>0.02443064182194617</v>
      </c>
      <c r="AZ119" s="77" t="n">
        <v>0.05797101449275362</v>
      </c>
      <c r="BA119" s="77" t="n">
        <v>0.134703196347032</v>
      </c>
      <c r="BB119" s="80" t="n">
        <v>0</v>
      </c>
      <c r="BC119" s="80" t="n">
        <v>0</v>
      </c>
      <c r="BD119" s="78" t="n">
        <v>1</v>
      </c>
      <c r="BE119" s="78" t="n">
        <v>1</v>
      </c>
      <c r="BF119" s="78" t="inlineStr">
        <is>
          <t>-</t>
        </is>
      </c>
    </row>
    <row r="120" ht="19.55" customHeight="1">
      <c r="A120" s="81" t="n">
        <v>117</v>
      </c>
      <c r="B120" s="76" t="inlineStr">
        <is>
          <t>全国</t>
        </is>
      </c>
      <c r="C120" s="82" t="n">
        <v>46142</v>
      </c>
      <c r="D120" s="76" t="inlineStr">
        <is>
          <t>N6</t>
        </is>
      </c>
      <c r="E120" s="76" t="n">
        <v>2342</v>
      </c>
      <c r="F120" s="76" t="n">
        <v>2085</v>
      </c>
      <c r="G120" s="77" t="n">
        <v>0.890264730999146</v>
      </c>
      <c r="H120" s="76" t="n">
        <v>1217</v>
      </c>
      <c r="I120" s="78" t="n">
        <v>0.5196413321947054</v>
      </c>
      <c r="J120" s="76" t="n">
        <v>2794</v>
      </c>
      <c r="K120" s="76" t="n">
        <v>2721</v>
      </c>
      <c r="L120" s="77" t="n">
        <v>0.974</v>
      </c>
      <c r="M120" s="76" t="n">
        <v>10277</v>
      </c>
      <c r="N120" s="76" t="n">
        <v>10651</v>
      </c>
      <c r="O120" s="76" t="n">
        <v>10094</v>
      </c>
      <c r="P120" s="77" t="n">
        <v>0.982193247056534</v>
      </c>
      <c r="Q120" s="76" t="n">
        <v>32</v>
      </c>
      <c r="R120" s="76" t="n">
        <v>0</v>
      </c>
      <c r="S120" s="76" t="n">
        <v>0</v>
      </c>
      <c r="T120" s="77" t="n">
        <v>0</v>
      </c>
      <c r="U120" s="76" t="n">
        <v>0</v>
      </c>
      <c r="V120" s="77" t="n">
        <v>0</v>
      </c>
      <c r="W120" s="76" t="n">
        <v>1418</v>
      </c>
      <c r="X120" s="77" t="n">
        <v>0.605465414175918</v>
      </c>
      <c r="Y120" s="76" t="n">
        <v>524</v>
      </c>
      <c r="Z120" s="79" t="n">
        <v>0.2237403928266439</v>
      </c>
      <c r="AA120" s="76" t="n">
        <v>43</v>
      </c>
      <c r="AB120" s="77" t="n">
        <v>0.01836037574722459</v>
      </c>
      <c r="AC120" s="76" t="n">
        <v>174</v>
      </c>
      <c r="AD120" s="77" t="n">
        <v>0.07429547395388557</v>
      </c>
      <c r="AE120" s="76" t="n">
        <v>41</v>
      </c>
      <c r="AF120" s="77" t="n">
        <v>0.235632183908046</v>
      </c>
      <c r="AG120" s="76" t="n">
        <v>143</v>
      </c>
      <c r="AH120" s="77" t="n">
        <v>0.8218390804597702</v>
      </c>
      <c r="AI120" s="80" t="n">
        <v>191</v>
      </c>
      <c r="AJ120" s="77" t="n">
        <v>0.08155422715627669</v>
      </c>
      <c r="AK120" s="80" t="n">
        <v>1</v>
      </c>
      <c r="AL120" s="77" t="n">
        <v>0.8272251308900523</v>
      </c>
      <c r="AM120" s="80" t="n">
        <v>176</v>
      </c>
      <c r="AN120" s="80" t="n">
        <v>158</v>
      </c>
      <c r="AO120" s="77" t="n">
        <v>0.06746370623398805</v>
      </c>
      <c r="AP120" s="77" t="n">
        <v>0.9080459770114943</v>
      </c>
      <c r="AQ120" s="78" t="n">
        <v>0.9285714285714286</v>
      </c>
      <c r="AR120" s="80" t="n">
        <v>0</v>
      </c>
      <c r="AS120" s="80" t="n">
        <v>0</v>
      </c>
      <c r="AT120" s="80" t="n">
        <v>54</v>
      </c>
      <c r="AU120" s="80" t="n">
        <v>51</v>
      </c>
      <c r="AV120" s="80" t="n">
        <v>46</v>
      </c>
      <c r="AW120" s="80" t="n">
        <v>95</v>
      </c>
      <c r="AX120" s="77" t="n">
        <v>0.02177625960717336</v>
      </c>
      <c r="AY120" s="77" t="n">
        <v>0.01964133219470538</v>
      </c>
      <c r="AZ120" s="77" t="n">
        <v>0.04056362083689154</v>
      </c>
      <c r="BA120" s="77" t="n">
        <v>0.2911392405063291</v>
      </c>
      <c r="BB120" s="80" t="n">
        <v>0</v>
      </c>
      <c r="BC120" s="80" t="n">
        <v>0</v>
      </c>
      <c r="BD120" s="78" t="n">
        <v>0.9615384615384616</v>
      </c>
      <c r="BE120" s="78" t="n">
        <v>1</v>
      </c>
      <c r="BF120" s="78" t="inlineStr">
        <is>
          <t>-</t>
        </is>
      </c>
    </row>
    <row r="121" ht="19.55" customHeight="1">
      <c r="A121" s="81" t="n">
        <v>118</v>
      </c>
      <c r="B121" s="76" t="inlineStr">
        <is>
          <t>全国</t>
        </is>
      </c>
      <c r="C121" s="82" t="n">
        <v>46142</v>
      </c>
      <c r="D121" s="76" t="inlineStr">
        <is>
          <t>N7</t>
        </is>
      </c>
      <c r="E121" s="76" t="n">
        <v>1711</v>
      </c>
      <c r="F121" s="76" t="n">
        <v>1552</v>
      </c>
      <c r="G121" s="77" t="n">
        <v>0.9070718877849211</v>
      </c>
      <c r="H121" s="76" t="n">
        <v>562</v>
      </c>
      <c r="I121" s="78" t="n">
        <v>0.3284628872004676</v>
      </c>
      <c r="J121" s="76" t="n">
        <v>1401</v>
      </c>
      <c r="K121" s="76" t="n">
        <v>1349</v>
      </c>
      <c r="L121" s="77" t="n">
        <v>0.963</v>
      </c>
      <c r="M121" s="76" t="n">
        <v>8085</v>
      </c>
      <c r="N121" s="76" t="n">
        <v>8318</v>
      </c>
      <c r="O121" s="76" t="n">
        <v>7902</v>
      </c>
      <c r="P121" s="77" t="n">
        <v>0.9773654916512059</v>
      </c>
      <c r="Q121" s="76" t="n">
        <v>47</v>
      </c>
      <c r="R121" s="76" t="n">
        <v>0</v>
      </c>
      <c r="S121" s="76" t="n">
        <v>0</v>
      </c>
      <c r="T121" s="77" t="n">
        <v>0</v>
      </c>
      <c r="U121" s="76" t="n">
        <v>0</v>
      </c>
      <c r="V121" s="77" t="n">
        <v>0</v>
      </c>
      <c r="W121" s="76" t="n">
        <v>1509</v>
      </c>
      <c r="X121" s="77" t="n">
        <v>0.8819403857393338</v>
      </c>
      <c r="Y121" s="76" t="n">
        <v>504</v>
      </c>
      <c r="Z121" s="79" t="n">
        <v>0.2945645821157218</v>
      </c>
      <c r="AA121" s="76" t="n">
        <v>30</v>
      </c>
      <c r="AB121" s="77" t="n">
        <v>0.01753360607831677</v>
      </c>
      <c r="AC121" s="76" t="n">
        <v>202</v>
      </c>
      <c r="AD121" s="77" t="n">
        <v>0.1180596142606663</v>
      </c>
      <c r="AE121" s="76" t="n">
        <v>52</v>
      </c>
      <c r="AF121" s="77" t="n">
        <v>0.2574257425742574</v>
      </c>
      <c r="AG121" s="76" t="n">
        <v>175</v>
      </c>
      <c r="AH121" s="77" t="n">
        <v>0.8663366336633663</v>
      </c>
      <c r="AI121" s="80" t="n">
        <v>221</v>
      </c>
      <c r="AJ121" s="77" t="n">
        <v>0.1291642314436002</v>
      </c>
      <c r="AK121" s="80" t="n">
        <v>1</v>
      </c>
      <c r="AL121" s="77" t="n">
        <v>0.8099547511312217</v>
      </c>
      <c r="AM121" s="80" t="n">
        <v>208</v>
      </c>
      <c r="AN121" s="80" t="n">
        <v>179</v>
      </c>
      <c r="AO121" s="77" t="n">
        <v>0.1046171829339567</v>
      </c>
      <c r="AP121" s="77" t="n">
        <v>0.8861386138613861</v>
      </c>
      <c r="AQ121" s="78" t="n">
        <v>0.9476439790575916</v>
      </c>
      <c r="AR121" s="80" t="n">
        <v>0</v>
      </c>
      <c r="AS121" s="80" t="n">
        <v>0</v>
      </c>
      <c r="AT121" s="80" t="n">
        <v>51</v>
      </c>
      <c r="AU121" s="80" t="n">
        <v>46</v>
      </c>
      <c r="AV121" s="80" t="n">
        <v>42</v>
      </c>
      <c r="AW121" s="80" t="n">
        <v>83</v>
      </c>
      <c r="AX121" s="77" t="n">
        <v>0.02688486265341905</v>
      </c>
      <c r="AY121" s="77" t="n">
        <v>0.02454704850964348</v>
      </c>
      <c r="AZ121" s="77" t="n">
        <v>0.04850964348334307</v>
      </c>
      <c r="BA121" s="77" t="n">
        <v>0.2346368715083799</v>
      </c>
      <c r="BB121" s="80" t="n">
        <v>0</v>
      </c>
      <c r="BC121" s="80" t="n">
        <v>1</v>
      </c>
      <c r="BD121" s="78" t="n">
        <v>1</v>
      </c>
      <c r="BE121" s="78" t="n">
        <v>0.8888888888888888</v>
      </c>
      <c r="BF121" s="78" t="inlineStr">
        <is>
          <t>-</t>
        </is>
      </c>
    </row>
    <row r="122" ht="19.55" customHeight="1">
      <c r="A122" s="81" t="n">
        <v>119</v>
      </c>
      <c r="B122" s="76" t="inlineStr">
        <is>
          <t>全国</t>
        </is>
      </c>
      <c r="C122" s="82" t="n">
        <v>46142</v>
      </c>
      <c r="D122" s="76" t="inlineStr">
        <is>
          <t>NX8</t>
        </is>
      </c>
      <c r="E122" s="76" t="n">
        <v>10501</v>
      </c>
      <c r="F122" s="76" t="n">
        <v>9207</v>
      </c>
      <c r="G122" s="77" t="n">
        <v>0.8767736406056567</v>
      </c>
      <c r="H122" s="76" t="n">
        <v>1864</v>
      </c>
      <c r="I122" s="78" t="n">
        <v>0.177506904104371</v>
      </c>
      <c r="J122" s="76" t="n">
        <v>8912</v>
      </c>
      <c r="K122" s="76" t="n">
        <v>8594</v>
      </c>
      <c r="L122" s="77" t="n">
        <v>0.964</v>
      </c>
      <c r="M122" s="76" t="n">
        <v>29176</v>
      </c>
      <c r="N122" s="76" t="n">
        <v>30492</v>
      </c>
      <c r="O122" s="76" t="n">
        <v>28508</v>
      </c>
      <c r="P122" s="77" t="n">
        <v>0.9771044694269262</v>
      </c>
      <c r="Q122" s="76" t="n">
        <v>201</v>
      </c>
      <c r="R122" s="76" t="n">
        <v>0</v>
      </c>
      <c r="S122" s="76" t="n">
        <v>0</v>
      </c>
      <c r="T122" s="77" t="n">
        <v>0</v>
      </c>
      <c r="U122" s="76" t="n">
        <v>0</v>
      </c>
      <c r="V122" s="77" t="n">
        <v>0</v>
      </c>
      <c r="W122" s="76" t="n">
        <v>2545</v>
      </c>
      <c r="X122" s="77" t="n">
        <v>0.242357870678983</v>
      </c>
      <c r="Y122" s="76" t="n">
        <v>2157</v>
      </c>
      <c r="Z122" s="79" t="n">
        <v>0.2054090086658414</v>
      </c>
      <c r="AA122" s="76" t="n">
        <v>7</v>
      </c>
      <c r="AB122" s="77" t="n">
        <v>0.000666603180649462</v>
      </c>
      <c r="AC122" s="76" t="n">
        <v>991</v>
      </c>
      <c r="AD122" s="77" t="n">
        <v>0.0943719645748024</v>
      </c>
      <c r="AE122" s="76" t="n">
        <v>208</v>
      </c>
      <c r="AF122" s="77" t="n">
        <v>0.2098890010090817</v>
      </c>
      <c r="AG122" s="76" t="n">
        <v>833</v>
      </c>
      <c r="AH122" s="77" t="n">
        <v>0.8405650857719476</v>
      </c>
      <c r="AI122" s="80" t="n">
        <v>978</v>
      </c>
      <c r="AJ122" s="77" t="n">
        <v>0.09313398723931055</v>
      </c>
      <c r="AK122" s="80" t="n">
        <v>7</v>
      </c>
      <c r="AL122" s="77" t="n">
        <v>0.911042944785276</v>
      </c>
      <c r="AM122" s="80" t="n">
        <v>975</v>
      </c>
      <c r="AN122" s="80" t="n">
        <v>891</v>
      </c>
      <c r="AO122" s="77" t="n">
        <v>0.0848490619940958</v>
      </c>
      <c r="AP122" s="77" t="n">
        <v>0.8990918264379415</v>
      </c>
      <c r="AQ122" s="78" t="n">
        <v>0.9687174139728885</v>
      </c>
      <c r="AR122" s="80" t="n">
        <v>0</v>
      </c>
      <c r="AS122" s="80" t="n">
        <v>0</v>
      </c>
      <c r="AT122" s="80" t="n">
        <v>397</v>
      </c>
      <c r="AU122" s="80" t="n">
        <v>369</v>
      </c>
      <c r="AV122" s="80" t="n">
        <v>246</v>
      </c>
      <c r="AW122" s="80" t="n">
        <v>153</v>
      </c>
      <c r="AX122" s="77" t="n">
        <v>0.03513951052280735</v>
      </c>
      <c r="AY122" s="77" t="n">
        <v>0.02342634034853823</v>
      </c>
      <c r="AZ122" s="77" t="n">
        <v>0.0145700409484811</v>
      </c>
      <c r="BA122" s="77" t="n">
        <v>0.2760942760942761</v>
      </c>
      <c r="BB122" s="80" t="n">
        <v>0</v>
      </c>
      <c r="BC122" s="80" t="n">
        <v>1</v>
      </c>
      <c r="BD122" s="78" t="n">
        <v>0.9759036144578314</v>
      </c>
      <c r="BE122" s="78" t="n">
        <v>0.9411764705882353</v>
      </c>
      <c r="BF122" s="78" t="inlineStr">
        <is>
          <t>-</t>
        </is>
      </c>
    </row>
    <row r="123" ht="19.55" customHeight="1">
      <c r="A123" s="81" t="n">
        <v>120</v>
      </c>
      <c r="B123" s="76" t="inlineStr">
        <is>
          <t>全国</t>
        </is>
      </c>
      <c r="C123" s="82" t="n">
        <v>46142</v>
      </c>
      <c r="D123" s="76" t="inlineStr">
        <is>
          <t>天籁·鸿蒙座舱</t>
        </is>
      </c>
      <c r="E123" s="76" t="n">
        <v>2441</v>
      </c>
      <c r="F123" s="76" t="n">
        <v>2258</v>
      </c>
      <c r="G123" s="77" t="n">
        <v>0.9250307251126587</v>
      </c>
      <c r="H123" s="76" t="n">
        <v>1129</v>
      </c>
      <c r="I123" s="78" t="n">
        <v>0.4625153625563294</v>
      </c>
      <c r="J123" s="76" t="n">
        <v>2588</v>
      </c>
      <c r="K123" s="76" t="n">
        <v>2514</v>
      </c>
      <c r="L123" s="77" t="n">
        <v>0.971</v>
      </c>
      <c r="M123" s="76" t="n">
        <v>15448</v>
      </c>
      <c r="N123" s="76" t="n">
        <v>15665</v>
      </c>
      <c r="O123" s="76" t="n">
        <v>15208</v>
      </c>
      <c r="P123" s="77" t="n">
        <v>0.9844640082858622</v>
      </c>
      <c r="Q123" s="76" t="n">
        <v>76</v>
      </c>
      <c r="R123" s="76" t="n">
        <v>0</v>
      </c>
      <c r="S123" s="76" t="n">
        <v>0</v>
      </c>
      <c r="T123" s="77" t="n">
        <v>0</v>
      </c>
      <c r="U123" s="76" t="n">
        <v>0</v>
      </c>
      <c r="V123" s="77" t="n">
        <v>0</v>
      </c>
      <c r="W123" s="76" t="n">
        <v>2257</v>
      </c>
      <c r="X123" s="77" t="n">
        <v>0.9246210569438754</v>
      </c>
      <c r="Y123" s="76" t="n">
        <v>661</v>
      </c>
      <c r="Z123" s="79" t="n">
        <v>0.2707906595657518</v>
      </c>
      <c r="AA123" s="76" t="n">
        <v>73</v>
      </c>
      <c r="AB123" s="77" t="n">
        <v>0.02990577632117985</v>
      </c>
      <c r="AC123" s="76" t="n">
        <v>478</v>
      </c>
      <c r="AD123" s="77" t="n">
        <v>0.1958213846784105</v>
      </c>
      <c r="AE123" s="76" t="n">
        <v>102</v>
      </c>
      <c r="AF123" s="77" t="n">
        <v>0.2133891213389121</v>
      </c>
      <c r="AG123" s="76" t="n">
        <v>395</v>
      </c>
      <c r="AH123" s="77" t="n">
        <v>0.8263598326359832</v>
      </c>
      <c r="AI123" s="80" t="n">
        <v>503</v>
      </c>
      <c r="AJ123" s="77" t="n">
        <v>0.2060630888979926</v>
      </c>
      <c r="AK123" s="80" t="n">
        <v>2</v>
      </c>
      <c r="AL123" s="77" t="n">
        <v>0.9065606361829026</v>
      </c>
      <c r="AM123" s="80" t="n">
        <v>490</v>
      </c>
      <c r="AN123" s="80" t="n">
        <v>456</v>
      </c>
      <c r="AO123" s="77" t="n">
        <v>0.1868086849651782</v>
      </c>
      <c r="AP123" s="77" t="n">
        <v>0.9539748953974896</v>
      </c>
      <c r="AQ123" s="78" t="n">
        <v>0.9373549883990719</v>
      </c>
      <c r="AR123" s="80" t="n">
        <v>0</v>
      </c>
      <c r="AS123" s="80" t="n">
        <v>0</v>
      </c>
      <c r="AT123" s="80" t="n">
        <v>139</v>
      </c>
      <c r="AU123" s="80" t="n">
        <v>127</v>
      </c>
      <c r="AV123" s="80" t="n">
        <v>118</v>
      </c>
      <c r="AW123" s="80" t="n">
        <v>180</v>
      </c>
      <c r="AX123" s="77" t="n">
        <v>0.05202785743547726</v>
      </c>
      <c r="AY123" s="77" t="n">
        <v>0.04834084391642769</v>
      </c>
      <c r="AZ123" s="77" t="n">
        <v>0.0737402703809914</v>
      </c>
      <c r="BA123" s="77" t="n">
        <v>0.2587719298245614</v>
      </c>
      <c r="BB123" s="80" t="n">
        <v>0</v>
      </c>
      <c r="BC123" s="80" t="n">
        <v>0</v>
      </c>
      <c r="BD123" s="78" t="n">
        <v>1</v>
      </c>
      <c r="BE123" s="78" t="n">
        <v>1</v>
      </c>
      <c r="BF123" s="78" t="inlineStr">
        <is>
          <t>-</t>
        </is>
      </c>
    </row>
    <row r="124" ht="19.55" customHeight="1">
      <c r="A124" s="81" t="n">
        <v>121</v>
      </c>
      <c r="B124" s="76" t="inlineStr">
        <is>
          <t>全国</t>
        </is>
      </c>
      <c r="C124" s="82" t="n">
        <v>46143</v>
      </c>
      <c r="D124" s="76" t="inlineStr">
        <is>
          <t>N6</t>
        </is>
      </c>
      <c r="E124" s="76" t="n">
        <v>2590</v>
      </c>
      <c r="F124" s="76" t="n">
        <v>2225</v>
      </c>
      <c r="G124" s="77" t="n">
        <v>0.859073359073359</v>
      </c>
      <c r="H124" s="76" t="n">
        <v>556</v>
      </c>
      <c r="I124" s="78" t="n">
        <v>0.2146718146718147</v>
      </c>
      <c r="J124" s="76" t="n">
        <v>1490</v>
      </c>
      <c r="K124" s="76" t="n">
        <v>1391</v>
      </c>
      <c r="L124" s="77" t="n">
        <v>0.9340000000000001</v>
      </c>
      <c r="M124" s="76" t="n">
        <v>9810</v>
      </c>
      <c r="N124" s="76" t="n">
        <v>10224</v>
      </c>
      <c r="O124" s="76" t="n">
        <v>9552</v>
      </c>
      <c r="P124" s="77" t="n">
        <v>0.9737003058103976</v>
      </c>
      <c r="Q124" s="76" t="n">
        <v>73</v>
      </c>
      <c r="R124" s="76" t="n">
        <v>0</v>
      </c>
      <c r="S124" s="76" t="n">
        <v>0</v>
      </c>
      <c r="T124" s="77" t="n">
        <v>0</v>
      </c>
      <c r="U124" s="76" t="n">
        <v>0</v>
      </c>
      <c r="V124" s="77" t="n">
        <v>0</v>
      </c>
      <c r="W124" s="76" t="n">
        <v>1128</v>
      </c>
      <c r="X124" s="77" t="n">
        <v>0.4355212355212355</v>
      </c>
      <c r="Y124" s="76" t="n">
        <v>717</v>
      </c>
      <c r="Z124" s="79" t="n">
        <v>0.2768339768339768</v>
      </c>
      <c r="AA124" s="76" t="n">
        <v>42</v>
      </c>
      <c r="AB124" s="77" t="n">
        <v>0.01621621621621622</v>
      </c>
      <c r="AC124" s="76" t="n">
        <v>267</v>
      </c>
      <c r="AD124" s="77" t="n">
        <v>0.1030888030888031</v>
      </c>
      <c r="AE124" s="76" t="n">
        <v>40</v>
      </c>
      <c r="AF124" s="77" t="n">
        <v>0.149812734082397</v>
      </c>
      <c r="AG124" s="76" t="n">
        <v>236</v>
      </c>
      <c r="AH124" s="77" t="n">
        <v>0.8838951310861424</v>
      </c>
      <c r="AI124" s="80" t="n">
        <v>247</v>
      </c>
      <c r="AJ124" s="77" t="n">
        <v>0.09536679536679536</v>
      </c>
      <c r="AK124" s="80" t="n">
        <v>0</v>
      </c>
      <c r="AL124" s="77" t="n">
        <v>0.8178137651821862</v>
      </c>
      <c r="AM124" s="80" t="n">
        <v>238</v>
      </c>
      <c r="AN124" s="80" t="n">
        <v>202</v>
      </c>
      <c r="AO124" s="77" t="n">
        <v>0.07799227799227799</v>
      </c>
      <c r="AP124" s="77" t="n">
        <v>0.7565543071161048</v>
      </c>
      <c r="AQ124" s="78" t="n">
        <v>0.9</v>
      </c>
      <c r="AR124" s="80" t="n">
        <v>0</v>
      </c>
      <c r="AS124" s="80" t="n">
        <v>0</v>
      </c>
      <c r="AT124" s="80" t="n">
        <v>133</v>
      </c>
      <c r="AU124" s="80" t="n">
        <v>129</v>
      </c>
      <c r="AV124" s="80" t="n">
        <v>123</v>
      </c>
      <c r="AW124" s="80" t="n">
        <v>40</v>
      </c>
      <c r="AX124" s="77" t="n">
        <v>0.04980694980694981</v>
      </c>
      <c r="AY124" s="77" t="n">
        <v>0.04749034749034749</v>
      </c>
      <c r="AZ124" s="77" t="n">
        <v>0.01544401544401544</v>
      </c>
      <c r="BA124" s="77" t="n">
        <v>0.6089108910891089</v>
      </c>
      <c r="BB124" s="80" t="n">
        <v>0</v>
      </c>
      <c r="BC124" s="80" t="n">
        <v>0</v>
      </c>
      <c r="BD124" s="78" t="n">
        <v>1</v>
      </c>
      <c r="BE124" s="78" t="n">
        <v>1</v>
      </c>
      <c r="BF124" s="78" t="inlineStr">
        <is>
          <t>-</t>
        </is>
      </c>
    </row>
    <row r="125" ht="19.55" customHeight="1">
      <c r="A125" s="81" t="n">
        <v>122</v>
      </c>
      <c r="B125" s="76" t="inlineStr">
        <is>
          <t>全国</t>
        </is>
      </c>
      <c r="C125" s="82" t="n">
        <v>46143</v>
      </c>
      <c r="D125" s="76" t="inlineStr">
        <is>
          <t>N7</t>
        </is>
      </c>
      <c r="E125" s="76" t="n">
        <v>4303</v>
      </c>
      <c r="F125" s="76" t="n">
        <v>3440</v>
      </c>
      <c r="G125" s="77" t="n">
        <v>0.799442249593307</v>
      </c>
      <c r="H125" s="76" t="n">
        <v>613</v>
      </c>
      <c r="I125" s="78" t="n">
        <v>0.142458749709505</v>
      </c>
      <c r="J125" s="76" t="n">
        <v>1724</v>
      </c>
      <c r="K125" s="76" t="n">
        <v>1647</v>
      </c>
      <c r="L125" s="77" t="n">
        <v>0.955</v>
      </c>
      <c r="M125" s="76" t="n">
        <v>8700</v>
      </c>
      <c r="N125" s="76" t="n">
        <v>10869</v>
      </c>
      <c r="O125" s="76" t="n">
        <v>8477</v>
      </c>
      <c r="P125" s="77" t="n">
        <v>0.974367816091954</v>
      </c>
      <c r="Q125" s="76" t="n">
        <v>87</v>
      </c>
      <c r="R125" s="76" t="n">
        <v>0</v>
      </c>
      <c r="S125" s="76" t="n">
        <v>0</v>
      </c>
      <c r="T125" s="77" t="n">
        <v>0</v>
      </c>
      <c r="U125" s="76" t="n">
        <v>0</v>
      </c>
      <c r="V125" s="77" t="n">
        <v>0</v>
      </c>
      <c r="W125" s="76" t="n">
        <v>1380</v>
      </c>
      <c r="X125" s="77" t="n">
        <v>0.3207064838484778</v>
      </c>
      <c r="Y125" s="76" t="n">
        <v>688</v>
      </c>
      <c r="Z125" s="79" t="n">
        <v>0.1598884499186614</v>
      </c>
      <c r="AA125" s="76" t="n">
        <v>20</v>
      </c>
      <c r="AB125" s="77" t="n">
        <v>0.004647920055775041</v>
      </c>
      <c r="AC125" s="76" t="n">
        <v>275</v>
      </c>
      <c r="AD125" s="77" t="n">
        <v>0.06390890076690681</v>
      </c>
      <c r="AE125" s="76" t="n">
        <v>38</v>
      </c>
      <c r="AF125" s="77" t="n">
        <v>0.1381818181818182</v>
      </c>
      <c r="AG125" s="76" t="n">
        <v>258</v>
      </c>
      <c r="AH125" s="77" t="n">
        <v>0.9381818181818182</v>
      </c>
      <c r="AI125" s="80" t="n">
        <v>262</v>
      </c>
      <c r="AJ125" s="77" t="n">
        <v>0.06088775273065303</v>
      </c>
      <c r="AK125" s="80" t="n">
        <v>2</v>
      </c>
      <c r="AL125" s="77" t="n">
        <v>0.8053435114503816</v>
      </c>
      <c r="AM125" s="80" t="n">
        <v>258</v>
      </c>
      <c r="AN125" s="80" t="n">
        <v>211</v>
      </c>
      <c r="AO125" s="77" t="n">
        <v>0.04903555658842668</v>
      </c>
      <c r="AP125" s="77" t="n">
        <v>0.7672727272727272</v>
      </c>
      <c r="AQ125" s="78" t="n">
        <v>0.9121951219512195</v>
      </c>
      <c r="AR125" s="80" t="n">
        <v>0</v>
      </c>
      <c r="AS125" s="80" t="n">
        <v>0</v>
      </c>
      <c r="AT125" s="80" t="n">
        <v>95</v>
      </c>
      <c r="AU125" s="80" t="n">
        <v>88</v>
      </c>
      <c r="AV125" s="80" t="n">
        <v>92</v>
      </c>
      <c r="AW125" s="80" t="n">
        <v>43</v>
      </c>
      <c r="AX125" s="77" t="n">
        <v>0.02045084824541018</v>
      </c>
      <c r="AY125" s="77" t="n">
        <v>0.02138043225656519</v>
      </c>
      <c r="AZ125" s="77" t="n">
        <v>0.009993028119916338</v>
      </c>
      <c r="BA125" s="77" t="n">
        <v>0.4360189573459716</v>
      </c>
      <c r="BB125" s="80" t="n">
        <v>0</v>
      </c>
      <c r="BC125" s="80" t="n">
        <v>0</v>
      </c>
      <c r="BD125" s="78" t="n">
        <v>1</v>
      </c>
      <c r="BE125" s="78" t="n">
        <v>1</v>
      </c>
      <c r="BF125" s="78" t="inlineStr">
        <is>
          <t>-</t>
        </is>
      </c>
    </row>
    <row r="126" ht="19.55" customHeight="1">
      <c r="A126" s="81" t="n">
        <v>123</v>
      </c>
      <c r="B126" s="76" t="inlineStr">
        <is>
          <t>全国</t>
        </is>
      </c>
      <c r="C126" s="82" t="n">
        <v>46143</v>
      </c>
      <c r="D126" s="76" t="inlineStr">
        <is>
          <t>NX8</t>
        </is>
      </c>
      <c r="E126" s="76" t="n">
        <v>16848</v>
      </c>
      <c r="F126" s="76" t="n">
        <v>13216</v>
      </c>
      <c r="G126" s="77" t="n">
        <v>0.7844254510921178</v>
      </c>
      <c r="H126" s="76" t="n">
        <v>3194</v>
      </c>
      <c r="I126" s="78" t="n">
        <v>0.1895773979107312</v>
      </c>
      <c r="J126" s="76" t="n">
        <v>8260</v>
      </c>
      <c r="K126" s="76" t="n">
        <v>7875</v>
      </c>
      <c r="L126" s="77" t="n">
        <v>0.953</v>
      </c>
      <c r="M126" s="76" t="n">
        <v>28810</v>
      </c>
      <c r="N126" s="76" t="n">
        <v>36393</v>
      </c>
      <c r="O126" s="76" t="n">
        <v>28065</v>
      </c>
      <c r="P126" s="77" t="n">
        <v>0.9741409232905242</v>
      </c>
      <c r="Q126" s="76" t="n">
        <v>269</v>
      </c>
      <c r="R126" s="76" t="n">
        <v>0</v>
      </c>
      <c r="S126" s="76" t="n">
        <v>0</v>
      </c>
      <c r="T126" s="77" t="n">
        <v>0</v>
      </c>
      <c r="U126" s="76" t="n">
        <v>0</v>
      </c>
      <c r="V126" s="77" t="n">
        <v>0</v>
      </c>
      <c r="W126" s="76" t="n">
        <v>2204</v>
      </c>
      <c r="X126" s="77" t="n">
        <v>0.1308167141500475</v>
      </c>
      <c r="Y126" s="76" t="n">
        <v>1825</v>
      </c>
      <c r="Z126" s="79" t="n">
        <v>0.1083214624881292</v>
      </c>
      <c r="AA126" s="76" t="n">
        <v>9</v>
      </c>
      <c r="AB126" s="77" t="n">
        <v>0.0005341880341880342</v>
      </c>
      <c r="AC126" s="76" t="n">
        <v>1263</v>
      </c>
      <c r="AD126" s="77" t="n">
        <v>0.07496438746438747</v>
      </c>
      <c r="AE126" s="76" t="n">
        <v>184</v>
      </c>
      <c r="AF126" s="77" t="n">
        <v>0.1456848772763262</v>
      </c>
      <c r="AG126" s="76" t="n">
        <v>1117</v>
      </c>
      <c r="AH126" s="77" t="n">
        <v>0.8844022169437846</v>
      </c>
      <c r="AI126" s="80" t="n">
        <v>1178</v>
      </c>
      <c r="AJ126" s="77" t="n">
        <v>0.06991927825261159</v>
      </c>
      <c r="AK126" s="80" t="n">
        <v>5</v>
      </c>
      <c r="AL126" s="77" t="n">
        <v>0.9117147707979627</v>
      </c>
      <c r="AM126" s="80" t="n">
        <v>1177</v>
      </c>
      <c r="AN126" s="80" t="n">
        <v>1074</v>
      </c>
      <c r="AO126" s="77" t="n">
        <v>0.06374643874643875</v>
      </c>
      <c r="AP126" s="77" t="n">
        <v>0.850356294536817</v>
      </c>
      <c r="AQ126" s="78" t="n">
        <v>0.9495967741935484</v>
      </c>
      <c r="AR126" s="80" t="n">
        <v>0</v>
      </c>
      <c r="AS126" s="80" t="n">
        <v>0</v>
      </c>
      <c r="AT126" s="80" t="n">
        <v>205</v>
      </c>
      <c r="AU126" s="80" t="n">
        <v>161</v>
      </c>
      <c r="AV126" s="80" t="n">
        <v>208</v>
      </c>
      <c r="AW126" s="80" t="n">
        <v>64</v>
      </c>
      <c r="AX126" s="77" t="n">
        <v>0.009556030389363722</v>
      </c>
      <c r="AY126" s="77" t="n">
        <v>0.01234567901234568</v>
      </c>
      <c r="AZ126" s="77" t="n">
        <v>0.003798670465337132</v>
      </c>
      <c r="BA126" s="77" t="n">
        <v>0.1936685288640596</v>
      </c>
      <c r="BB126" s="80" t="n">
        <v>0</v>
      </c>
      <c r="BC126" s="80" t="n">
        <v>2</v>
      </c>
      <c r="BD126" s="78" t="n">
        <v>0.9682539682539683</v>
      </c>
      <c r="BE126" s="78" t="n">
        <v>0.9591836734693877</v>
      </c>
      <c r="BF126" s="78" t="inlineStr">
        <is>
          <t>-</t>
        </is>
      </c>
    </row>
    <row r="127" ht="19.55" customHeight="1">
      <c r="A127" s="81" t="n">
        <v>124</v>
      </c>
      <c r="B127" s="76" t="inlineStr">
        <is>
          <t>全国</t>
        </is>
      </c>
      <c r="C127" s="82" t="n">
        <v>46143</v>
      </c>
      <c r="D127" s="76" t="inlineStr">
        <is>
          <t>天籁·鸿蒙座舱</t>
        </is>
      </c>
      <c r="E127" s="76" t="n">
        <v>4622</v>
      </c>
      <c r="F127" s="76" t="n">
        <v>3889</v>
      </c>
      <c r="G127" s="77" t="n">
        <v>0.8414106447425357</v>
      </c>
      <c r="H127" s="76" t="n">
        <v>1370</v>
      </c>
      <c r="I127" s="78" t="n">
        <v>0.2964084811769797</v>
      </c>
      <c r="J127" s="76" t="n">
        <v>2988</v>
      </c>
      <c r="K127" s="76" t="n">
        <v>2861</v>
      </c>
      <c r="L127" s="77" t="n">
        <v>0.957</v>
      </c>
      <c r="M127" s="76" t="n">
        <v>15364</v>
      </c>
      <c r="N127" s="76" t="n">
        <v>17119</v>
      </c>
      <c r="O127" s="76" t="n">
        <v>14963</v>
      </c>
      <c r="P127" s="77" t="n">
        <v>0.9739000260348868</v>
      </c>
      <c r="Q127" s="76" t="n">
        <v>162</v>
      </c>
      <c r="R127" s="76" t="n">
        <v>0</v>
      </c>
      <c r="S127" s="76" t="n">
        <v>0</v>
      </c>
      <c r="T127" s="77" t="n">
        <v>0</v>
      </c>
      <c r="U127" s="76" t="n">
        <v>0</v>
      </c>
      <c r="V127" s="77" t="n">
        <v>0</v>
      </c>
      <c r="W127" s="76" t="n">
        <v>1889</v>
      </c>
      <c r="X127" s="77" t="n">
        <v>0.4086975335352661</v>
      </c>
      <c r="Y127" s="76" t="n">
        <v>904</v>
      </c>
      <c r="Z127" s="79" t="n">
        <v>0.1955863262656858</v>
      </c>
      <c r="AA127" s="76" t="n">
        <v>86</v>
      </c>
      <c r="AB127" s="77" t="n">
        <v>0.01860666378191259</v>
      </c>
      <c r="AC127" s="76" t="n">
        <v>532</v>
      </c>
      <c r="AD127" s="77" t="n">
        <v>0.1151016875811337</v>
      </c>
      <c r="AE127" s="76" t="n">
        <v>48</v>
      </c>
      <c r="AF127" s="77" t="n">
        <v>0.09022556390977443</v>
      </c>
      <c r="AG127" s="76" t="n">
        <v>484</v>
      </c>
      <c r="AH127" s="77" t="n">
        <v>0.9097744360902256</v>
      </c>
      <c r="AI127" s="80" t="n">
        <v>481</v>
      </c>
      <c r="AJ127" s="77" t="n">
        <v>0.1040675032453483</v>
      </c>
      <c r="AK127" s="80" t="n">
        <v>1</v>
      </c>
      <c r="AL127" s="77" t="n">
        <v>0.9293139293139293</v>
      </c>
      <c r="AM127" s="80" t="n">
        <v>478</v>
      </c>
      <c r="AN127" s="80" t="n">
        <v>447</v>
      </c>
      <c r="AO127" s="77" t="n">
        <v>0.09671138035482475</v>
      </c>
      <c r="AP127" s="77" t="n">
        <v>0.8402255639097744</v>
      </c>
      <c r="AQ127" s="78" t="n">
        <v>0.8638132295719845</v>
      </c>
      <c r="AR127" s="80" t="n">
        <v>0</v>
      </c>
      <c r="AS127" s="80" t="n">
        <v>0</v>
      </c>
      <c r="AT127" s="80" t="n">
        <v>194</v>
      </c>
      <c r="AU127" s="80" t="n">
        <v>187</v>
      </c>
      <c r="AV127" s="80" t="n">
        <v>190</v>
      </c>
      <c r="AW127" s="80" t="n">
        <v>56</v>
      </c>
      <c r="AX127" s="77" t="n">
        <v>0.04045867589787971</v>
      </c>
      <c r="AY127" s="77" t="n">
        <v>0.04110774556469061</v>
      </c>
      <c r="AZ127" s="77" t="n">
        <v>0.01211596711380355</v>
      </c>
      <c r="BA127" s="77" t="n">
        <v>0.4250559284116331</v>
      </c>
      <c r="BB127" s="80" t="n">
        <v>0</v>
      </c>
      <c r="BC127" s="80" t="n">
        <v>0</v>
      </c>
      <c r="BD127" s="78" t="n">
        <v>0.9629629629629629</v>
      </c>
      <c r="BE127" s="78" t="n">
        <v>1</v>
      </c>
      <c r="BF127" s="78" t="inlineStr">
        <is>
          <t>-</t>
        </is>
      </c>
    </row>
    <row r="128" ht="19.55" customHeight="1">
      <c r="A128" s="81" t="n">
        <v>125</v>
      </c>
      <c r="B128" s="76" t="inlineStr">
        <is>
          <t>全国</t>
        </is>
      </c>
      <c r="C128" s="82" t="n">
        <v>46144</v>
      </c>
      <c r="D128" s="76" t="inlineStr">
        <is>
          <t>N6</t>
        </is>
      </c>
      <c r="E128" s="76" t="n">
        <v>3243</v>
      </c>
      <c r="F128" s="76" t="n">
        <v>2820</v>
      </c>
      <c r="G128" s="77" t="n">
        <v>0.8695652173913043</v>
      </c>
      <c r="H128" s="76" t="n">
        <v>1020</v>
      </c>
      <c r="I128" s="78" t="n">
        <v>0.3145235892691952</v>
      </c>
      <c r="J128" s="76" t="n">
        <v>3115</v>
      </c>
      <c r="K128" s="76" t="n">
        <v>2993</v>
      </c>
      <c r="L128" s="77" t="n">
        <v>0.961</v>
      </c>
      <c r="M128" s="76" t="n">
        <v>10862</v>
      </c>
      <c r="N128" s="76" t="n">
        <v>10753</v>
      </c>
      <c r="O128" s="76" t="n">
        <v>10640</v>
      </c>
      <c r="P128" s="77" t="n">
        <v>0.9795617749953968</v>
      </c>
      <c r="Q128" s="76" t="n">
        <v>85</v>
      </c>
      <c r="R128" s="76" t="n">
        <v>0</v>
      </c>
      <c r="S128" s="76" t="n">
        <v>0</v>
      </c>
      <c r="T128" s="77" t="n">
        <v>0</v>
      </c>
      <c r="U128" s="76" t="n">
        <v>0</v>
      </c>
      <c r="V128" s="77" t="n">
        <v>0</v>
      </c>
      <c r="W128" s="76" t="n">
        <v>1414</v>
      </c>
      <c r="X128" s="77" t="n">
        <v>0.4360160345359235</v>
      </c>
      <c r="Y128" s="76" t="n">
        <v>774</v>
      </c>
      <c r="Z128" s="79" t="n">
        <v>0.2386679000925069</v>
      </c>
      <c r="AA128" s="76" t="n">
        <v>0</v>
      </c>
      <c r="AB128" s="77" t="n">
        <v>0</v>
      </c>
      <c r="AC128" s="76" t="n">
        <v>229</v>
      </c>
      <c r="AD128" s="77" t="n">
        <v>0.070613629355535</v>
      </c>
      <c r="AE128" s="76" t="n">
        <v>60</v>
      </c>
      <c r="AF128" s="77" t="n">
        <v>0.2620087336244541</v>
      </c>
      <c r="AG128" s="76" t="n">
        <v>206</v>
      </c>
      <c r="AH128" s="77" t="n">
        <v>0.8995633187772926</v>
      </c>
      <c r="AI128" s="80" t="n">
        <v>207</v>
      </c>
      <c r="AJ128" s="77" t="n">
        <v>0.06382978723404255</v>
      </c>
      <c r="AK128" s="80" t="n">
        <v>4</v>
      </c>
      <c r="AL128" s="77" t="n">
        <v>0.855072463768116</v>
      </c>
      <c r="AM128" s="80" t="n">
        <v>207</v>
      </c>
      <c r="AN128" s="80" t="n">
        <v>177</v>
      </c>
      <c r="AO128" s="77" t="n">
        <v>0.0545790934320074</v>
      </c>
      <c r="AP128" s="77" t="n">
        <v>0.7729257641921398</v>
      </c>
      <c r="AQ128" s="78" t="n">
        <v>0.9691629955947136</v>
      </c>
      <c r="AR128" s="80" t="n">
        <v>0</v>
      </c>
      <c r="AS128" s="80" t="n">
        <v>0</v>
      </c>
      <c r="AT128" s="80" t="n">
        <v>119</v>
      </c>
      <c r="AU128" s="80" t="n">
        <v>113</v>
      </c>
      <c r="AV128" s="80" t="n">
        <v>120</v>
      </c>
      <c r="AW128" s="80" t="n">
        <v>50</v>
      </c>
      <c r="AX128" s="77" t="n">
        <v>0.03484427998766574</v>
      </c>
      <c r="AY128" s="77" t="n">
        <v>0.03700277520814061</v>
      </c>
      <c r="AZ128" s="77" t="n">
        <v>0.01541782300339192</v>
      </c>
      <c r="BA128" s="77" t="n">
        <v>0.6779661016949152</v>
      </c>
      <c r="BB128" s="80" t="n">
        <v>0</v>
      </c>
      <c r="BC128" s="80" t="n">
        <v>0</v>
      </c>
      <c r="BD128" s="78" t="n">
        <v>1</v>
      </c>
      <c r="BE128" s="78" t="n">
        <v>0.9666666666666667</v>
      </c>
      <c r="BF128" s="78" t="inlineStr">
        <is>
          <t>-</t>
        </is>
      </c>
    </row>
    <row r="129" ht="19.55" customHeight="1">
      <c r="A129" s="81" t="n">
        <v>126</v>
      </c>
      <c r="B129" s="76" t="inlineStr">
        <is>
          <t>全国</t>
        </is>
      </c>
      <c r="C129" s="82" t="n">
        <v>46144</v>
      </c>
      <c r="D129" s="76" t="inlineStr">
        <is>
          <t>N7</t>
        </is>
      </c>
      <c r="E129" s="76" t="n">
        <v>3623</v>
      </c>
      <c r="F129" s="76" t="n">
        <v>2836</v>
      </c>
      <c r="G129" s="77" t="n">
        <v>0.7827767043886282</v>
      </c>
      <c r="H129" s="76" t="n">
        <v>707</v>
      </c>
      <c r="I129" s="78" t="n">
        <v>0.1951421473916644</v>
      </c>
      <c r="J129" s="76" t="n">
        <v>4219</v>
      </c>
      <c r="K129" s="76" t="n">
        <v>4133</v>
      </c>
      <c r="L129" s="77" t="n">
        <v>0.98</v>
      </c>
      <c r="M129" s="76" t="n">
        <v>11270</v>
      </c>
      <c r="N129" s="76" t="n">
        <v>10508</v>
      </c>
      <c r="O129" s="76" t="n">
        <v>11074</v>
      </c>
      <c r="P129" s="77" t="n">
        <v>0.9826086956521739</v>
      </c>
      <c r="Q129" s="76" t="n">
        <v>69</v>
      </c>
      <c r="R129" s="76" t="n">
        <v>0</v>
      </c>
      <c r="S129" s="76" t="n">
        <v>0</v>
      </c>
      <c r="T129" s="77" t="n">
        <v>0</v>
      </c>
      <c r="U129" s="76" t="n">
        <v>0</v>
      </c>
      <c r="V129" s="77" t="n">
        <v>0</v>
      </c>
      <c r="W129" s="76" t="n">
        <v>1467</v>
      </c>
      <c r="X129" s="77" t="n">
        <v>0.4049130554788849</v>
      </c>
      <c r="Y129" s="76" t="n">
        <v>670</v>
      </c>
      <c r="Z129" s="79" t="n">
        <v>0.1849296163400497</v>
      </c>
      <c r="AA129" s="76" t="n">
        <v>0</v>
      </c>
      <c r="AB129" s="77" t="n">
        <v>0</v>
      </c>
      <c r="AC129" s="76" t="n">
        <v>275</v>
      </c>
      <c r="AD129" s="77" t="n">
        <v>0.07590394700524428</v>
      </c>
      <c r="AE129" s="76" t="n">
        <v>31</v>
      </c>
      <c r="AF129" s="77" t="n">
        <v>0.1127272727272727</v>
      </c>
      <c r="AG129" s="76" t="n">
        <v>242</v>
      </c>
      <c r="AH129" s="77" t="n">
        <v>0.88</v>
      </c>
      <c r="AI129" s="80" t="n">
        <v>253</v>
      </c>
      <c r="AJ129" s="77" t="n">
        <v>0.06983163124482474</v>
      </c>
      <c r="AK129" s="80" t="n">
        <v>2</v>
      </c>
      <c r="AL129" s="77" t="n">
        <v>0.8260869565217391</v>
      </c>
      <c r="AM129" s="80" t="n">
        <v>249</v>
      </c>
      <c r="AN129" s="80" t="n">
        <v>209</v>
      </c>
      <c r="AO129" s="77" t="n">
        <v>0.05768699972398564</v>
      </c>
      <c r="AP129" s="77" t="n">
        <v>0.76</v>
      </c>
      <c r="AQ129" s="78" t="n">
        <v>0.9715447154471545</v>
      </c>
      <c r="AR129" s="80" t="n">
        <v>0</v>
      </c>
      <c r="AS129" s="80" t="n">
        <v>0</v>
      </c>
      <c r="AT129" s="80" t="n">
        <v>66</v>
      </c>
      <c r="AU129" s="80" t="n">
        <v>61</v>
      </c>
      <c r="AV129" s="80" t="n">
        <v>64</v>
      </c>
      <c r="AW129" s="80" t="n">
        <v>36</v>
      </c>
      <c r="AX129" s="77" t="n">
        <v>0.01683687551752691</v>
      </c>
      <c r="AY129" s="77" t="n">
        <v>0.01766491857576594</v>
      </c>
      <c r="AZ129" s="77" t="n">
        <v>0.009936516698868341</v>
      </c>
      <c r="BA129" s="77" t="n">
        <v>0.3062200956937799</v>
      </c>
      <c r="BB129" s="80" t="n">
        <v>0</v>
      </c>
      <c r="BC129" s="80" t="n">
        <v>0</v>
      </c>
      <c r="BD129" s="78" t="n">
        <v>0.9655172413793104</v>
      </c>
      <c r="BE129" s="78" t="n">
        <v>1</v>
      </c>
      <c r="BF129" s="78" t="inlineStr">
        <is>
          <t>-</t>
        </is>
      </c>
    </row>
    <row r="130" ht="19.55" customHeight="1">
      <c r="A130" s="81" t="n">
        <v>127</v>
      </c>
      <c r="B130" s="76" t="inlineStr">
        <is>
          <t>全国</t>
        </is>
      </c>
      <c r="C130" s="82" t="n">
        <v>46144</v>
      </c>
      <c r="D130" s="76" t="inlineStr">
        <is>
          <t>NX8</t>
        </is>
      </c>
      <c r="E130" s="76" t="n">
        <v>13840</v>
      </c>
      <c r="F130" s="76" t="n">
        <v>10715</v>
      </c>
      <c r="G130" s="77" t="n">
        <v>0.7742052023121387</v>
      </c>
      <c r="H130" s="76" t="n">
        <v>2610</v>
      </c>
      <c r="I130" s="78" t="n">
        <v>0.1885838150289017</v>
      </c>
      <c r="J130" s="76" t="n">
        <v>16958</v>
      </c>
      <c r="K130" s="76" t="n">
        <v>16443</v>
      </c>
      <c r="L130" s="77" t="n">
        <v>0.97</v>
      </c>
      <c r="M130" s="76" t="n">
        <v>39355</v>
      </c>
      <c r="N130" s="76" t="n">
        <v>36479</v>
      </c>
      <c r="O130" s="76" t="n">
        <v>38608</v>
      </c>
      <c r="P130" s="77" t="n">
        <v>0.9810189302502859</v>
      </c>
      <c r="Q130" s="76" t="n">
        <v>281</v>
      </c>
      <c r="R130" s="76" t="n">
        <v>0</v>
      </c>
      <c r="S130" s="76" t="n">
        <v>0</v>
      </c>
      <c r="T130" s="77" t="n">
        <v>0</v>
      </c>
      <c r="U130" s="76" t="n">
        <v>0</v>
      </c>
      <c r="V130" s="77" t="n">
        <v>0</v>
      </c>
      <c r="W130" s="76" t="n">
        <v>2608</v>
      </c>
      <c r="X130" s="77" t="n">
        <v>0.1884393063583815</v>
      </c>
      <c r="Y130" s="76" t="n">
        <v>1670</v>
      </c>
      <c r="Z130" s="79" t="n">
        <v>0.1206647398843931</v>
      </c>
      <c r="AA130" s="76" t="n">
        <v>0</v>
      </c>
      <c r="AB130" s="77" t="n">
        <v>0</v>
      </c>
      <c r="AC130" s="76" t="n">
        <v>1276</v>
      </c>
      <c r="AD130" s="77" t="n">
        <v>0.09219653179190751</v>
      </c>
      <c r="AE130" s="76" t="n">
        <v>216</v>
      </c>
      <c r="AF130" s="77" t="n">
        <v>0.1692789968652038</v>
      </c>
      <c r="AG130" s="76" t="n">
        <v>1114</v>
      </c>
      <c r="AH130" s="77" t="n">
        <v>0.8730407523510971</v>
      </c>
      <c r="AI130" s="80" t="n">
        <v>1225</v>
      </c>
      <c r="AJ130" s="77" t="n">
        <v>0.08851156069364162</v>
      </c>
      <c r="AK130" s="80" t="n">
        <v>13</v>
      </c>
      <c r="AL130" s="77" t="n">
        <v>0.9044897959183673</v>
      </c>
      <c r="AM130" s="80" t="n">
        <v>1217</v>
      </c>
      <c r="AN130" s="80" t="n">
        <v>1108</v>
      </c>
      <c r="AO130" s="77" t="n">
        <v>0.08005780346820809</v>
      </c>
      <c r="AP130" s="77" t="n">
        <v>0.8683385579937304</v>
      </c>
      <c r="AQ130" s="78" t="n">
        <v>0.9622641509433962</v>
      </c>
      <c r="AR130" s="80" t="n">
        <v>0</v>
      </c>
      <c r="AS130" s="80" t="n">
        <v>0</v>
      </c>
      <c r="AT130" s="80" t="n">
        <v>196</v>
      </c>
      <c r="AU130" s="80" t="n">
        <v>163</v>
      </c>
      <c r="AV130" s="80" t="n">
        <v>199</v>
      </c>
      <c r="AW130" s="80" t="n">
        <v>65</v>
      </c>
      <c r="AX130" s="77" t="n">
        <v>0.01177745664739884</v>
      </c>
      <c r="AY130" s="77" t="n">
        <v>0.01437861271676301</v>
      </c>
      <c r="AZ130" s="77" t="n">
        <v>0.004696531791907515</v>
      </c>
      <c r="BA130" s="77" t="n">
        <v>0.1796028880866426</v>
      </c>
      <c r="BB130" s="80" t="n">
        <v>0</v>
      </c>
      <c r="BC130" s="80" t="n">
        <v>0</v>
      </c>
      <c r="BD130" s="78" t="n">
        <v>0.9794520547945206</v>
      </c>
      <c r="BE130" s="78" t="n">
        <v>0.9841269841269841</v>
      </c>
      <c r="BF130" s="78" t="inlineStr">
        <is>
          <t>-</t>
        </is>
      </c>
    </row>
    <row r="131" ht="19.55" customHeight="1">
      <c r="A131" s="81" t="n">
        <v>128</v>
      </c>
      <c r="B131" s="76" t="inlineStr">
        <is>
          <t>全国</t>
        </is>
      </c>
      <c r="C131" s="82" t="n">
        <v>46144</v>
      </c>
      <c r="D131" s="76" t="inlineStr">
        <is>
          <t>天籁·鸿蒙座舱</t>
        </is>
      </c>
      <c r="E131" s="76" t="n">
        <v>4691</v>
      </c>
      <c r="F131" s="76" t="n">
        <v>3921</v>
      </c>
      <c r="G131" s="77" t="n">
        <v>0.835855894265615</v>
      </c>
      <c r="H131" s="76" t="n">
        <v>1543</v>
      </c>
      <c r="I131" s="78" t="n">
        <v>0.3289277339586442</v>
      </c>
      <c r="J131" s="76" t="n">
        <v>4746</v>
      </c>
      <c r="K131" s="76" t="n">
        <v>4604</v>
      </c>
      <c r="L131" s="77" t="n">
        <v>0.97</v>
      </c>
      <c r="M131" s="76" t="n">
        <v>17677</v>
      </c>
      <c r="N131" s="76" t="n">
        <v>17375</v>
      </c>
      <c r="O131" s="76" t="n">
        <v>17355</v>
      </c>
      <c r="P131" s="77" t="n">
        <v>0.9817842394071392</v>
      </c>
      <c r="Q131" s="76" t="n">
        <v>112</v>
      </c>
      <c r="R131" s="76" t="n">
        <v>0</v>
      </c>
      <c r="S131" s="76" t="n">
        <v>0</v>
      </c>
      <c r="T131" s="77" t="n">
        <v>0</v>
      </c>
      <c r="U131" s="76" t="n">
        <v>0</v>
      </c>
      <c r="V131" s="77" t="n">
        <v>0</v>
      </c>
      <c r="W131" s="76" t="n">
        <v>1874</v>
      </c>
      <c r="X131" s="77" t="n">
        <v>0.3994883820081006</v>
      </c>
      <c r="Y131" s="76" t="n">
        <v>901</v>
      </c>
      <c r="Z131" s="79" t="n">
        <v>0.1920699211255596</v>
      </c>
      <c r="AA131" s="76" t="n">
        <v>0</v>
      </c>
      <c r="AB131" s="77" t="n">
        <v>0</v>
      </c>
      <c r="AC131" s="76" t="n">
        <v>490</v>
      </c>
      <c r="AD131" s="77" t="n">
        <v>0.1044553400127904</v>
      </c>
      <c r="AE131" s="76" t="n">
        <v>61</v>
      </c>
      <c r="AF131" s="77" t="n">
        <v>0.1244897959183673</v>
      </c>
      <c r="AG131" s="76" t="n">
        <v>426</v>
      </c>
      <c r="AH131" s="77" t="n">
        <v>0.8693877551020408</v>
      </c>
      <c r="AI131" s="80" t="n">
        <v>433</v>
      </c>
      <c r="AJ131" s="77" t="n">
        <v>0.09230441270518014</v>
      </c>
      <c r="AK131" s="80" t="n">
        <v>2</v>
      </c>
      <c r="AL131" s="77" t="n">
        <v>0.9330254041570438</v>
      </c>
      <c r="AM131" s="80" t="n">
        <v>429</v>
      </c>
      <c r="AN131" s="80" t="n">
        <v>404</v>
      </c>
      <c r="AO131" s="77" t="n">
        <v>0.08612236196972926</v>
      </c>
      <c r="AP131" s="77" t="n">
        <v>0.8244897959183674</v>
      </c>
      <c r="AQ131" s="78" t="n">
        <v>0.9665924276169265</v>
      </c>
      <c r="AR131" s="80" t="n">
        <v>0</v>
      </c>
      <c r="AS131" s="80" t="n">
        <v>0</v>
      </c>
      <c r="AT131" s="80" t="n">
        <v>157</v>
      </c>
      <c r="AU131" s="80" t="n">
        <v>150</v>
      </c>
      <c r="AV131" s="80" t="n">
        <v>152</v>
      </c>
      <c r="AW131" s="80" t="n">
        <v>51</v>
      </c>
      <c r="AX131" s="77" t="n">
        <v>0.03197612449371137</v>
      </c>
      <c r="AY131" s="77" t="n">
        <v>0.03240247282029418</v>
      </c>
      <c r="AZ131" s="77" t="n">
        <v>0.01087188232786186</v>
      </c>
      <c r="BA131" s="77" t="n">
        <v>0.3762376237623762</v>
      </c>
      <c r="BB131" s="80" t="n">
        <v>0</v>
      </c>
      <c r="BC131" s="80" t="n">
        <v>0</v>
      </c>
      <c r="BD131" s="78" t="n">
        <v>0.9791666666666666</v>
      </c>
      <c r="BE131" s="78" t="n">
        <v>1</v>
      </c>
      <c r="BF131" s="78" t="inlineStr">
        <is>
          <t>-</t>
        </is>
      </c>
    </row>
    <row r="132" ht="19.55" customHeight="1">
      <c r="A132" s="81" t="n">
        <v>129</v>
      </c>
      <c r="B132" s="76" t="inlineStr">
        <is>
          <t>全国</t>
        </is>
      </c>
      <c r="C132" s="82" t="n">
        <v>46145</v>
      </c>
      <c r="D132" s="76" t="inlineStr">
        <is>
          <t>N6</t>
        </is>
      </c>
      <c r="E132" s="76" t="n">
        <v>2945</v>
      </c>
      <c r="F132" s="76" t="n">
        <v>2576</v>
      </c>
      <c r="G132" s="77" t="n">
        <v>0.8747028862478777</v>
      </c>
      <c r="H132" s="76" t="n">
        <v>1104</v>
      </c>
      <c r="I132" s="78" t="n">
        <v>0.3748726655348047</v>
      </c>
      <c r="J132" s="76" t="n">
        <v>2458</v>
      </c>
      <c r="K132" s="76" t="n">
        <v>2369</v>
      </c>
      <c r="L132" s="77" t="n">
        <v>0.964</v>
      </c>
      <c r="M132" s="76" t="n">
        <v>10391</v>
      </c>
      <c r="N132" s="76" t="n">
        <v>10088</v>
      </c>
      <c r="O132" s="76" t="n">
        <v>10224</v>
      </c>
      <c r="P132" s="77" t="n">
        <v>0.9839283995765566</v>
      </c>
      <c r="Q132" s="76" t="n">
        <v>66</v>
      </c>
      <c r="R132" s="76" t="n">
        <v>0</v>
      </c>
      <c r="S132" s="76" t="n">
        <v>0</v>
      </c>
      <c r="T132" s="77" t="n">
        <v>0</v>
      </c>
      <c r="U132" s="76" t="n">
        <v>0</v>
      </c>
      <c r="V132" s="77" t="n">
        <v>0</v>
      </c>
      <c r="W132" s="76" t="n">
        <v>934</v>
      </c>
      <c r="X132" s="77" t="n">
        <v>0.3171477079796265</v>
      </c>
      <c r="Y132" s="76" t="n">
        <v>749</v>
      </c>
      <c r="Z132" s="79" t="n">
        <v>0.2543293718166384</v>
      </c>
      <c r="AA132" s="76" t="n">
        <v>68</v>
      </c>
      <c r="AB132" s="77" t="n">
        <v>0.02308998302207131</v>
      </c>
      <c r="AC132" s="76" t="n">
        <v>266</v>
      </c>
      <c r="AD132" s="77" t="n">
        <v>0.09032258064516129</v>
      </c>
      <c r="AE132" s="76" t="n">
        <v>38</v>
      </c>
      <c r="AF132" s="77" t="n">
        <v>0.1428571428571428</v>
      </c>
      <c r="AG132" s="76" t="n">
        <v>232</v>
      </c>
      <c r="AH132" s="77" t="n">
        <v>0.8721804511278195</v>
      </c>
      <c r="AI132" s="80" t="n">
        <v>246</v>
      </c>
      <c r="AJ132" s="77" t="n">
        <v>0.08353140916808149</v>
      </c>
      <c r="AK132" s="80" t="n">
        <v>5</v>
      </c>
      <c r="AL132" s="77" t="n">
        <v>0.8170731707317073</v>
      </c>
      <c r="AM132" s="80" t="n">
        <v>241</v>
      </c>
      <c r="AN132" s="80" t="n">
        <v>201</v>
      </c>
      <c r="AO132" s="77" t="n">
        <v>0.06825127334465195</v>
      </c>
      <c r="AP132" s="77" t="n">
        <v>0.7556390977443609</v>
      </c>
      <c r="AQ132" s="78" t="n">
        <v>0.9786096256684492</v>
      </c>
      <c r="AR132" s="80" t="n">
        <v>0</v>
      </c>
      <c r="AS132" s="80" t="n">
        <v>0</v>
      </c>
      <c r="AT132" s="80" t="n">
        <v>104</v>
      </c>
      <c r="AU132" s="80" t="n">
        <v>101</v>
      </c>
      <c r="AV132" s="80" t="n">
        <v>96</v>
      </c>
      <c r="AW132" s="80" t="n">
        <v>40</v>
      </c>
      <c r="AX132" s="77" t="n">
        <v>0.03429541595925297</v>
      </c>
      <c r="AY132" s="77" t="n">
        <v>0.03259762308998302</v>
      </c>
      <c r="AZ132" s="77" t="n">
        <v>0.01358234295415959</v>
      </c>
      <c r="BA132" s="77" t="n">
        <v>0.4776119402985075</v>
      </c>
      <c r="BB132" s="80" t="n">
        <v>0</v>
      </c>
      <c r="BC132" s="80" t="n">
        <v>0</v>
      </c>
      <c r="BD132" s="78" t="n">
        <v>1</v>
      </c>
      <c r="BE132" s="78" t="n">
        <v>1</v>
      </c>
      <c r="BF132" s="78" t="inlineStr">
        <is>
          <t>-</t>
        </is>
      </c>
    </row>
    <row r="133" ht="19.55" customHeight="1">
      <c r="A133" s="81" t="n">
        <v>130</v>
      </c>
      <c r="B133" s="76" t="inlineStr">
        <is>
          <t>全国</t>
        </is>
      </c>
      <c r="C133" s="82" t="n">
        <v>46145</v>
      </c>
      <c r="D133" s="76" t="inlineStr">
        <is>
          <t>N7</t>
        </is>
      </c>
      <c r="E133" s="76" t="n">
        <v>3503</v>
      </c>
      <c r="F133" s="76" t="n">
        <v>2763</v>
      </c>
      <c r="G133" s="77" t="n">
        <v>0.7887524978589781</v>
      </c>
      <c r="H133" s="76" t="n">
        <v>959</v>
      </c>
      <c r="I133" s="78" t="n">
        <v>0.273765343990865</v>
      </c>
      <c r="J133" s="76" t="n">
        <v>3757</v>
      </c>
      <c r="K133" s="76" t="n">
        <v>3673</v>
      </c>
      <c r="L133" s="77" t="n">
        <v>0.978</v>
      </c>
      <c r="M133" s="76" t="n">
        <v>10686</v>
      </c>
      <c r="N133" s="76" t="n">
        <v>10426</v>
      </c>
      <c r="O133" s="76" t="n">
        <v>10536</v>
      </c>
      <c r="P133" s="77" t="n">
        <v>0.9859629421673217</v>
      </c>
      <c r="Q133" s="76" t="n">
        <v>54</v>
      </c>
      <c r="R133" s="76" t="n">
        <v>0</v>
      </c>
      <c r="S133" s="76" t="n">
        <v>0</v>
      </c>
      <c r="T133" s="77" t="n">
        <v>0</v>
      </c>
      <c r="U133" s="76" t="n">
        <v>0</v>
      </c>
      <c r="V133" s="77" t="n">
        <v>0</v>
      </c>
      <c r="W133" s="76" t="n">
        <v>1036</v>
      </c>
      <c r="X133" s="77" t="n">
        <v>0.2957465029974308</v>
      </c>
      <c r="Y133" s="76" t="n">
        <v>630</v>
      </c>
      <c r="Z133" s="79" t="n">
        <v>0.1798458464173565</v>
      </c>
      <c r="AA133" s="76" t="n">
        <v>41</v>
      </c>
      <c r="AB133" s="77" t="n">
        <v>0.01170425349700257</v>
      </c>
      <c r="AC133" s="76" t="n">
        <v>268</v>
      </c>
      <c r="AD133" s="77" t="n">
        <v>0.0765058521267485</v>
      </c>
      <c r="AE133" s="76" t="n">
        <v>27</v>
      </c>
      <c r="AF133" s="77" t="n">
        <v>0.1007462686567164</v>
      </c>
      <c r="AG133" s="76" t="n">
        <v>238</v>
      </c>
      <c r="AH133" s="77" t="n">
        <v>0.8880597014925373</v>
      </c>
      <c r="AI133" s="80" t="n">
        <v>247</v>
      </c>
      <c r="AJ133" s="77" t="n">
        <v>0.07051099057950329</v>
      </c>
      <c r="AK133" s="80" t="n">
        <v>5</v>
      </c>
      <c r="AL133" s="77" t="n">
        <v>0.8582995951417004</v>
      </c>
      <c r="AM133" s="80" t="n">
        <v>245</v>
      </c>
      <c r="AN133" s="80" t="n">
        <v>212</v>
      </c>
      <c r="AO133" s="77" t="n">
        <v>0.06051955466742792</v>
      </c>
      <c r="AP133" s="77" t="n">
        <v>0.7910447761194029</v>
      </c>
      <c r="AQ133" s="78" t="n">
        <v>0.9541666666666667</v>
      </c>
      <c r="AR133" s="80" t="n">
        <v>0</v>
      </c>
      <c r="AS133" s="80" t="n">
        <v>0</v>
      </c>
      <c r="AT133" s="80" t="n">
        <v>89</v>
      </c>
      <c r="AU133" s="80" t="n">
        <v>82</v>
      </c>
      <c r="AV133" s="80" t="n">
        <v>77</v>
      </c>
      <c r="AW133" s="80" t="n">
        <v>23</v>
      </c>
      <c r="AX133" s="77" t="n">
        <v>0.02340850699400514</v>
      </c>
      <c r="AY133" s="77" t="n">
        <v>0.0219811590065658</v>
      </c>
      <c r="AZ133" s="77" t="n">
        <v>0.006565800742220953</v>
      </c>
      <c r="BA133" s="77" t="n">
        <v>0.3632075471698113</v>
      </c>
      <c r="BB133" s="80" t="n">
        <v>0</v>
      </c>
      <c r="BC133" s="80" t="n">
        <v>0</v>
      </c>
      <c r="BD133" s="78" t="n">
        <v>1</v>
      </c>
      <c r="BE133" s="78" t="n">
        <v>1</v>
      </c>
      <c r="BF133" s="78" t="inlineStr">
        <is>
          <t>-</t>
        </is>
      </c>
    </row>
    <row r="134" ht="19.55" customHeight="1">
      <c r="A134" s="81" t="n">
        <v>131</v>
      </c>
      <c r="B134" s="76" t="inlineStr">
        <is>
          <t>全国</t>
        </is>
      </c>
      <c r="C134" s="82" t="n">
        <v>46145</v>
      </c>
      <c r="D134" s="76" t="inlineStr">
        <is>
          <t>NX8</t>
        </is>
      </c>
      <c r="E134" s="76" t="n">
        <v>12480</v>
      </c>
      <c r="F134" s="76" t="n">
        <v>9499</v>
      </c>
      <c r="G134" s="77" t="n">
        <v>0.7611378205128205</v>
      </c>
      <c r="H134" s="76" t="n">
        <v>1603</v>
      </c>
      <c r="I134" s="78" t="n">
        <v>0.1284455128205128</v>
      </c>
      <c r="J134" s="76" t="n">
        <v>12924</v>
      </c>
      <c r="K134" s="76" t="n">
        <v>12454</v>
      </c>
      <c r="L134" s="77" t="n">
        <v>0.964</v>
      </c>
      <c r="M134" s="76" t="n">
        <v>34650</v>
      </c>
      <c r="N134" s="76" t="n">
        <v>33688</v>
      </c>
      <c r="O134" s="76" t="n">
        <v>33923</v>
      </c>
      <c r="P134" s="77" t="n">
        <v>0.979018759018759</v>
      </c>
      <c r="Q134" s="76" t="n">
        <v>295</v>
      </c>
      <c r="R134" s="76" t="n">
        <v>0</v>
      </c>
      <c r="S134" s="76" t="n">
        <v>0</v>
      </c>
      <c r="T134" s="77" t="n">
        <v>0</v>
      </c>
      <c r="U134" s="76" t="n">
        <v>0</v>
      </c>
      <c r="V134" s="77" t="n">
        <v>0</v>
      </c>
      <c r="W134" s="76" t="n">
        <v>2056</v>
      </c>
      <c r="X134" s="77" t="n">
        <v>0.1647435897435897</v>
      </c>
      <c r="Y134" s="76" t="n">
        <v>1647</v>
      </c>
      <c r="Z134" s="79" t="n">
        <v>0.1319711538461538</v>
      </c>
      <c r="AA134" s="76" t="n">
        <v>8</v>
      </c>
      <c r="AB134" s="77" t="n">
        <v>0.000641025641025641</v>
      </c>
      <c r="AC134" s="76" t="n">
        <v>1296</v>
      </c>
      <c r="AD134" s="77" t="n">
        <v>0.1038461538461539</v>
      </c>
      <c r="AE134" s="76" t="n">
        <v>204</v>
      </c>
      <c r="AF134" s="77" t="n">
        <v>0.1574074074074074</v>
      </c>
      <c r="AG134" s="76" t="n">
        <v>1154</v>
      </c>
      <c r="AH134" s="77" t="n">
        <v>0.8904320987654321</v>
      </c>
      <c r="AI134" s="80" t="n">
        <v>1257</v>
      </c>
      <c r="AJ134" s="77" t="n">
        <v>0.1007211538461538</v>
      </c>
      <c r="AK134" s="80" t="n">
        <v>8</v>
      </c>
      <c r="AL134" s="77" t="n">
        <v>0.9021479713603818</v>
      </c>
      <c r="AM134" s="80" t="n">
        <v>1251</v>
      </c>
      <c r="AN134" s="80" t="n">
        <v>1134</v>
      </c>
      <c r="AO134" s="77" t="n">
        <v>0.09086538461538461</v>
      </c>
      <c r="AP134" s="77" t="n">
        <v>0.875</v>
      </c>
      <c r="AQ134" s="78" t="n">
        <v>0.964824120603015</v>
      </c>
      <c r="AR134" s="80" t="n">
        <v>0</v>
      </c>
      <c r="AS134" s="80" t="n">
        <v>0</v>
      </c>
      <c r="AT134" s="80" t="n">
        <v>220</v>
      </c>
      <c r="AU134" s="80" t="n">
        <v>191</v>
      </c>
      <c r="AV134" s="80" t="n">
        <v>234</v>
      </c>
      <c r="AW134" s="80" t="n">
        <v>49</v>
      </c>
      <c r="AX134" s="77" t="n">
        <v>0.01530448717948718</v>
      </c>
      <c r="AY134" s="77" t="n">
        <v>0.01875</v>
      </c>
      <c r="AZ134" s="77" t="n">
        <v>0.003926282051282051</v>
      </c>
      <c r="BA134" s="77" t="n">
        <v>0.2063492063492063</v>
      </c>
      <c r="BB134" s="80" t="n">
        <v>0</v>
      </c>
      <c r="BC134" s="80" t="n">
        <v>1</v>
      </c>
      <c r="BD134" s="78" t="n">
        <v>0.9882352941176471</v>
      </c>
      <c r="BE134" s="78" t="n">
        <v>0.9583333333333334</v>
      </c>
      <c r="BF134" s="78" t="inlineStr">
        <is>
          <t>-</t>
        </is>
      </c>
    </row>
    <row r="135" ht="19.55" customHeight="1">
      <c r="A135" s="81" t="n">
        <v>132</v>
      </c>
      <c r="B135" s="76" t="inlineStr">
        <is>
          <t>全国</t>
        </is>
      </c>
      <c r="C135" s="82" t="n">
        <v>46145</v>
      </c>
      <c r="D135" s="76" t="inlineStr">
        <is>
          <t>天籁·鸿蒙座舱</t>
        </is>
      </c>
      <c r="E135" s="76" t="n">
        <v>4650</v>
      </c>
      <c r="F135" s="76" t="n">
        <v>3939</v>
      </c>
      <c r="G135" s="77" t="n">
        <v>0.8470967741935483</v>
      </c>
      <c r="H135" s="76" t="n">
        <v>1995</v>
      </c>
      <c r="I135" s="78" t="n">
        <v>0.4290322580645161</v>
      </c>
      <c r="J135" s="76" t="n">
        <v>5639</v>
      </c>
      <c r="K135" s="76" t="n">
        <v>5508</v>
      </c>
      <c r="L135" s="77" t="n">
        <v>0.977</v>
      </c>
      <c r="M135" s="76" t="n">
        <v>18290</v>
      </c>
      <c r="N135" s="76" t="n">
        <v>17981</v>
      </c>
      <c r="O135" s="76" t="n">
        <v>18013</v>
      </c>
      <c r="P135" s="77" t="n">
        <v>0.9848551120831055</v>
      </c>
      <c r="Q135" s="76" t="n">
        <v>103</v>
      </c>
      <c r="R135" s="76" t="n">
        <v>0</v>
      </c>
      <c r="S135" s="76" t="n">
        <v>0</v>
      </c>
      <c r="T135" s="77" t="n">
        <v>0</v>
      </c>
      <c r="U135" s="76" t="n">
        <v>0</v>
      </c>
      <c r="V135" s="77" t="n">
        <v>0</v>
      </c>
      <c r="W135" s="76" t="n">
        <v>1348</v>
      </c>
      <c r="X135" s="77" t="n">
        <v>0.2898924731182796</v>
      </c>
      <c r="Y135" s="76" t="n">
        <v>914</v>
      </c>
      <c r="Z135" s="79" t="n">
        <v>0.1965591397849462</v>
      </c>
      <c r="AA135" s="76" t="n">
        <v>156</v>
      </c>
      <c r="AB135" s="77" t="n">
        <v>0.03354838709677419</v>
      </c>
      <c r="AC135" s="76" t="n">
        <v>510</v>
      </c>
      <c r="AD135" s="77" t="n">
        <v>0.1096774193548387</v>
      </c>
      <c r="AE135" s="76" t="n">
        <v>42</v>
      </c>
      <c r="AF135" s="77" t="n">
        <v>0.08235294117647059</v>
      </c>
      <c r="AG135" s="76" t="n">
        <v>454</v>
      </c>
      <c r="AH135" s="77" t="n">
        <v>0.8901960784313725</v>
      </c>
      <c r="AI135" s="80" t="n">
        <v>474</v>
      </c>
      <c r="AJ135" s="77" t="n">
        <v>0.1019354838709677</v>
      </c>
      <c r="AK135" s="80" t="n">
        <v>4</v>
      </c>
      <c r="AL135" s="77" t="n">
        <v>0.740506329113924</v>
      </c>
      <c r="AM135" s="80" t="n">
        <v>468</v>
      </c>
      <c r="AN135" s="80" t="n">
        <v>351</v>
      </c>
      <c r="AO135" s="77" t="n">
        <v>0.07548387096774194</v>
      </c>
      <c r="AP135" s="77" t="n">
        <v>0.6882352941176471</v>
      </c>
      <c r="AQ135" s="78" t="n">
        <v>0.948019801980198</v>
      </c>
      <c r="AR135" s="80" t="n">
        <v>0</v>
      </c>
      <c r="AS135" s="80" t="n">
        <v>0</v>
      </c>
      <c r="AT135" s="80" t="n">
        <v>188</v>
      </c>
      <c r="AU135" s="80" t="n">
        <v>184</v>
      </c>
      <c r="AV135" s="80" t="n">
        <v>179</v>
      </c>
      <c r="AW135" s="80" t="n">
        <v>59</v>
      </c>
      <c r="AX135" s="77" t="n">
        <v>0.03956989247311828</v>
      </c>
      <c r="AY135" s="77" t="n">
        <v>0.03849462365591398</v>
      </c>
      <c r="AZ135" s="77" t="n">
        <v>0.01268817204301075</v>
      </c>
      <c r="BA135" s="77" t="n">
        <v>0.50997150997151</v>
      </c>
      <c r="BB135" s="80" t="n">
        <v>0</v>
      </c>
      <c r="BC135" s="80" t="n">
        <v>0</v>
      </c>
      <c r="BD135" s="78" t="n">
        <v>0.9399999999999999</v>
      </c>
      <c r="BE135" s="78" t="n">
        <v>1</v>
      </c>
      <c r="BF135" s="78" t="inlineStr">
        <is>
          <t>-</t>
        </is>
      </c>
    </row>
    <row r="136" ht="19.55" customHeight="1">
      <c r="A136" s="81" t="n">
        <v>133</v>
      </c>
      <c r="B136" s="76" t="inlineStr">
        <is>
          <t>全国</t>
        </is>
      </c>
      <c r="C136" s="82" t="n">
        <v>46146</v>
      </c>
      <c r="D136" s="76" t="inlineStr">
        <is>
          <t>N6</t>
        </is>
      </c>
      <c r="E136" s="76" t="n">
        <v>2842</v>
      </c>
      <c r="F136" s="76" t="n">
        <v>2543</v>
      </c>
      <c r="G136" s="77" t="n">
        <v>0.8947923997185081</v>
      </c>
      <c r="H136" s="76" t="n">
        <v>1147</v>
      </c>
      <c r="I136" s="78" t="n">
        <v>0.4035890218156228</v>
      </c>
      <c r="J136" s="76" t="n">
        <v>3324</v>
      </c>
      <c r="K136" s="76" t="n">
        <v>3227</v>
      </c>
      <c r="L136" s="77" t="n">
        <v>0.971</v>
      </c>
      <c r="M136" s="76" t="n">
        <v>11009</v>
      </c>
      <c r="N136" s="76" t="n">
        <v>10813</v>
      </c>
      <c r="O136" s="76" t="n">
        <v>10794</v>
      </c>
      <c r="P136" s="77" t="n">
        <v>0.9804705241166318</v>
      </c>
      <c r="Q136" s="76" t="n">
        <v>85</v>
      </c>
      <c r="R136" s="76" t="n">
        <v>0</v>
      </c>
      <c r="S136" s="76" t="n">
        <v>0</v>
      </c>
      <c r="T136" s="77" t="n">
        <v>0</v>
      </c>
      <c r="U136" s="76" t="n">
        <v>0</v>
      </c>
      <c r="V136" s="77" t="n">
        <v>0</v>
      </c>
      <c r="W136" s="76" t="n">
        <v>1078</v>
      </c>
      <c r="X136" s="77" t="n">
        <v>0.3793103448275862</v>
      </c>
      <c r="Y136" s="76" t="n">
        <v>665</v>
      </c>
      <c r="Z136" s="79" t="n">
        <v>0.2339901477832512</v>
      </c>
      <c r="AA136" s="76" t="n">
        <v>29</v>
      </c>
      <c r="AB136" s="77" t="n">
        <v>0.01020408163265306</v>
      </c>
      <c r="AC136" s="76" t="n">
        <v>228</v>
      </c>
      <c r="AD136" s="77" t="n">
        <v>0.08022519352568613</v>
      </c>
      <c r="AE136" s="76" t="n">
        <v>23</v>
      </c>
      <c r="AF136" s="77" t="n">
        <v>0.1008771929824561</v>
      </c>
      <c r="AG136" s="76" t="n">
        <v>196</v>
      </c>
      <c r="AH136" s="77" t="n">
        <v>0.8596491228070176</v>
      </c>
      <c r="AI136" s="80" t="n">
        <v>199</v>
      </c>
      <c r="AJ136" s="77" t="n">
        <v>0.07002111189303308</v>
      </c>
      <c r="AK136" s="80" t="n">
        <v>3</v>
      </c>
      <c r="AL136" s="77" t="n">
        <v>0.8492462311557789</v>
      </c>
      <c r="AM136" s="80" t="n">
        <v>198</v>
      </c>
      <c r="AN136" s="80" t="n">
        <v>169</v>
      </c>
      <c r="AO136" s="77" t="n">
        <v>0.05946516537649543</v>
      </c>
      <c r="AP136" s="77" t="n">
        <v>0.7412280701754386</v>
      </c>
      <c r="AQ136" s="78" t="n">
        <v>0.9720930232558139</v>
      </c>
      <c r="AR136" s="80" t="n">
        <v>0</v>
      </c>
      <c r="AS136" s="80" t="n">
        <v>0</v>
      </c>
      <c r="AT136" s="80" t="n">
        <v>105</v>
      </c>
      <c r="AU136" s="80" t="n">
        <v>101</v>
      </c>
      <c r="AV136" s="80" t="n">
        <v>104</v>
      </c>
      <c r="AW136" s="80" t="n">
        <v>55</v>
      </c>
      <c r="AX136" s="77" t="n">
        <v>0.03553835327234342</v>
      </c>
      <c r="AY136" s="77" t="n">
        <v>0.03659394792399719</v>
      </c>
      <c r="AZ136" s="77" t="n">
        <v>0.01935256861365236</v>
      </c>
      <c r="BA136" s="77" t="n">
        <v>0.6153846153846154</v>
      </c>
      <c r="BB136" s="80" t="n">
        <v>0</v>
      </c>
      <c r="BC136" s="80" t="n">
        <v>0</v>
      </c>
      <c r="BD136" s="78" t="n">
        <v>1</v>
      </c>
      <c r="BE136" s="78" t="n">
        <v>1</v>
      </c>
      <c r="BF136" s="78" t="inlineStr">
        <is>
          <t>-</t>
        </is>
      </c>
    </row>
    <row r="137" ht="19.55" customHeight="1">
      <c r="A137" s="81" t="n">
        <v>134</v>
      </c>
      <c r="B137" s="76" t="inlineStr">
        <is>
          <t>全国</t>
        </is>
      </c>
      <c r="C137" s="82" t="n">
        <v>46146</v>
      </c>
      <c r="D137" s="76" t="inlineStr">
        <is>
          <t>N7</t>
        </is>
      </c>
      <c r="E137" s="76" t="n">
        <v>2558</v>
      </c>
      <c r="F137" s="76" t="n">
        <v>2070</v>
      </c>
      <c r="G137" s="77" t="n">
        <v>0.8092259577795152</v>
      </c>
      <c r="H137" s="76" t="n">
        <v>718</v>
      </c>
      <c r="I137" s="78" t="n">
        <v>0.2806880375293198</v>
      </c>
      <c r="J137" s="76" t="n">
        <v>3343</v>
      </c>
      <c r="K137" s="76" t="n">
        <v>3226</v>
      </c>
      <c r="L137" s="77" t="n">
        <v>0.965</v>
      </c>
      <c r="M137" s="76" t="n">
        <v>10587</v>
      </c>
      <c r="N137" s="76" t="n">
        <v>9971</v>
      </c>
      <c r="O137" s="76" t="n">
        <v>10368</v>
      </c>
      <c r="P137" s="77" t="n">
        <v>0.9793142533295551</v>
      </c>
      <c r="Q137" s="76" t="n">
        <v>97</v>
      </c>
      <c r="R137" s="76" t="n">
        <v>0</v>
      </c>
      <c r="S137" s="76" t="n">
        <v>0</v>
      </c>
      <c r="T137" s="77" t="n">
        <v>0</v>
      </c>
      <c r="U137" s="76" t="n">
        <v>0</v>
      </c>
      <c r="V137" s="77" t="n">
        <v>0</v>
      </c>
      <c r="W137" s="76" t="n">
        <v>1222</v>
      </c>
      <c r="X137" s="77" t="n">
        <v>0.4777169663799843</v>
      </c>
      <c r="Y137" s="76" t="n">
        <v>579</v>
      </c>
      <c r="Z137" s="79" t="n">
        <v>0.2263487099296325</v>
      </c>
      <c r="AA137" s="76" t="n">
        <v>16</v>
      </c>
      <c r="AB137" s="77" t="n">
        <v>0.006254886630179828</v>
      </c>
      <c r="AC137" s="76" t="n">
        <v>256</v>
      </c>
      <c r="AD137" s="77" t="n">
        <v>0.1000781860828772</v>
      </c>
      <c r="AE137" s="76" t="n">
        <v>33</v>
      </c>
      <c r="AF137" s="77" t="n">
        <v>0.12890625</v>
      </c>
      <c r="AG137" s="76" t="n">
        <v>226</v>
      </c>
      <c r="AH137" s="77" t="n">
        <v>0.8828125</v>
      </c>
      <c r="AI137" s="80" t="n">
        <v>240</v>
      </c>
      <c r="AJ137" s="77" t="n">
        <v>0.09382329945269742</v>
      </c>
      <c r="AK137" s="80" t="n">
        <v>3</v>
      </c>
      <c r="AL137" s="77" t="n">
        <v>0.8291666666666667</v>
      </c>
      <c r="AM137" s="80" t="n">
        <v>239</v>
      </c>
      <c r="AN137" s="80" t="n">
        <v>199</v>
      </c>
      <c r="AO137" s="77" t="n">
        <v>0.07779515246286162</v>
      </c>
      <c r="AP137" s="77" t="n">
        <v>0.77734375</v>
      </c>
      <c r="AQ137" s="78" t="n">
        <v>0.9778761061946902</v>
      </c>
      <c r="AR137" s="80" t="n">
        <v>0</v>
      </c>
      <c r="AS137" s="80" t="n">
        <v>0</v>
      </c>
      <c r="AT137" s="80" t="n">
        <v>77</v>
      </c>
      <c r="AU137" s="80" t="n">
        <v>69</v>
      </c>
      <c r="AV137" s="80" t="n">
        <v>70</v>
      </c>
      <c r="AW137" s="80" t="n">
        <v>33</v>
      </c>
      <c r="AX137" s="77" t="n">
        <v>0.02697419859265051</v>
      </c>
      <c r="AY137" s="77" t="n">
        <v>0.02736512900703675</v>
      </c>
      <c r="AZ137" s="77" t="n">
        <v>0.0129007036747459</v>
      </c>
      <c r="BA137" s="77" t="n">
        <v>0.3517587939698493</v>
      </c>
      <c r="BB137" s="80" t="n">
        <v>0</v>
      </c>
      <c r="BC137" s="80" t="n">
        <v>0</v>
      </c>
      <c r="BD137" s="78" t="n">
        <v>1</v>
      </c>
      <c r="BE137" s="78" t="n">
        <v>1</v>
      </c>
      <c r="BF137" s="78" t="inlineStr">
        <is>
          <t>-</t>
        </is>
      </c>
    </row>
    <row r="138" ht="19.55" customHeight="1">
      <c r="A138" s="81" t="n">
        <v>135</v>
      </c>
      <c r="B138" s="76" t="inlineStr">
        <is>
          <t>全国</t>
        </is>
      </c>
      <c r="C138" s="82" t="n">
        <v>46146</v>
      </c>
      <c r="D138" s="76" t="inlineStr">
        <is>
          <t>NX8</t>
        </is>
      </c>
      <c r="E138" s="76" t="n">
        <v>7646</v>
      </c>
      <c r="F138" s="76" t="n">
        <v>6053</v>
      </c>
      <c r="G138" s="77" t="n">
        <v>0.7916557677216846</v>
      </c>
      <c r="H138" s="76" t="n">
        <v>1614</v>
      </c>
      <c r="I138" s="78" t="n">
        <v>0.2110907664138111</v>
      </c>
      <c r="J138" s="76" t="n">
        <v>13290</v>
      </c>
      <c r="K138" s="76" t="n">
        <v>12706</v>
      </c>
      <c r="L138" s="77" t="n">
        <v>0.956</v>
      </c>
      <c r="M138" s="76" t="n">
        <v>36312</v>
      </c>
      <c r="N138" s="76" t="n">
        <v>33040</v>
      </c>
      <c r="O138" s="76" t="n">
        <v>35445</v>
      </c>
      <c r="P138" s="77" t="n">
        <v>0.976123595505618</v>
      </c>
      <c r="Q138" s="76" t="n">
        <v>467</v>
      </c>
      <c r="R138" s="76" t="n">
        <v>0</v>
      </c>
      <c r="S138" s="76" t="n">
        <v>0</v>
      </c>
      <c r="T138" s="77" t="n">
        <v>0</v>
      </c>
      <c r="U138" s="76" t="n">
        <v>0</v>
      </c>
      <c r="V138" s="77" t="n">
        <v>0</v>
      </c>
      <c r="W138" s="76" t="n">
        <v>2003</v>
      </c>
      <c r="X138" s="77" t="n">
        <v>0.261967041590374</v>
      </c>
      <c r="Y138" s="76" t="n">
        <v>2074</v>
      </c>
      <c r="Z138" s="79" t="n">
        <v>0.2712529427151452</v>
      </c>
      <c r="AA138" s="76" t="n">
        <v>4</v>
      </c>
      <c r="AB138" s="77" t="n">
        <v>0.000523149359142035</v>
      </c>
      <c r="AC138" s="76" t="n">
        <v>1245</v>
      </c>
      <c r="AD138" s="77" t="n">
        <v>0.1628302380329584</v>
      </c>
      <c r="AE138" s="76" t="n">
        <v>187</v>
      </c>
      <c r="AF138" s="77" t="n">
        <v>0.1502008032128514</v>
      </c>
      <c r="AG138" s="76" t="n">
        <v>1111</v>
      </c>
      <c r="AH138" s="77" t="n">
        <v>0.8923694779116466</v>
      </c>
      <c r="AI138" s="80" t="n">
        <v>1231</v>
      </c>
      <c r="AJ138" s="77" t="n">
        <v>0.1609992152759613</v>
      </c>
      <c r="AK138" s="80" t="n">
        <v>9</v>
      </c>
      <c r="AL138" s="77" t="n">
        <v>0.9203899268887084</v>
      </c>
      <c r="AM138" s="80" t="n">
        <v>1227</v>
      </c>
      <c r="AN138" s="80" t="n">
        <v>1133</v>
      </c>
      <c r="AO138" s="77" t="n">
        <v>0.1481820559769814</v>
      </c>
      <c r="AP138" s="77" t="n">
        <v>0.9100401606425703</v>
      </c>
      <c r="AQ138" s="78" t="n">
        <v>0.9726468222043443</v>
      </c>
      <c r="AR138" s="80" t="n">
        <v>0</v>
      </c>
      <c r="AS138" s="80" t="n">
        <v>0</v>
      </c>
      <c r="AT138" s="80" t="n">
        <v>220</v>
      </c>
      <c r="AU138" s="80" t="n">
        <v>206</v>
      </c>
      <c r="AV138" s="80" t="n">
        <v>207</v>
      </c>
      <c r="AW138" s="80" t="n">
        <v>51</v>
      </c>
      <c r="AX138" s="77" t="n">
        <v>0.02694219199581481</v>
      </c>
      <c r="AY138" s="77" t="n">
        <v>0.02707297933560032</v>
      </c>
      <c r="AZ138" s="77" t="n">
        <v>0.006670154329060947</v>
      </c>
      <c r="BA138" s="77" t="n">
        <v>0.1827007943512798</v>
      </c>
      <c r="BB138" s="80" t="n">
        <v>0</v>
      </c>
      <c r="BC138" s="80" t="n">
        <v>0</v>
      </c>
      <c r="BD138" s="78" t="n">
        <v>0.9735099337748344</v>
      </c>
      <c r="BE138" s="78" t="n">
        <v>1</v>
      </c>
      <c r="BF138" s="78" t="inlineStr">
        <is>
          <t>-</t>
        </is>
      </c>
    </row>
    <row r="139" ht="19.55" customHeight="1">
      <c r="A139" s="81" t="n">
        <v>136</v>
      </c>
      <c r="B139" s="76" t="inlineStr">
        <is>
          <t>全国</t>
        </is>
      </c>
      <c r="C139" s="82" t="n">
        <v>46146</v>
      </c>
      <c r="D139" s="76" t="inlineStr">
        <is>
          <t>天籁·鸿蒙座舱</t>
        </is>
      </c>
      <c r="E139" s="76" t="n">
        <v>4300</v>
      </c>
      <c r="F139" s="76" t="n">
        <v>3803</v>
      </c>
      <c r="G139" s="77" t="n">
        <v>0.8844186046511628</v>
      </c>
      <c r="H139" s="76" t="n">
        <v>1908</v>
      </c>
      <c r="I139" s="78" t="n">
        <v>0.4437209302325582</v>
      </c>
      <c r="J139" s="76" t="n">
        <v>4782</v>
      </c>
      <c r="K139" s="76" t="n">
        <v>4627</v>
      </c>
      <c r="L139" s="77" t="n">
        <v>0.968</v>
      </c>
      <c r="M139" s="76" t="n">
        <v>17457</v>
      </c>
      <c r="N139" s="76" t="n">
        <v>17329</v>
      </c>
      <c r="O139" s="76" t="n">
        <v>17125</v>
      </c>
      <c r="P139" s="77" t="n">
        <v>0.9809818410952627</v>
      </c>
      <c r="Q139" s="76" t="n">
        <v>148</v>
      </c>
      <c r="R139" s="76" t="n">
        <v>0</v>
      </c>
      <c r="S139" s="76" t="n">
        <v>0</v>
      </c>
      <c r="T139" s="77" t="n">
        <v>0</v>
      </c>
      <c r="U139" s="76" t="n">
        <v>0</v>
      </c>
      <c r="V139" s="77" t="n">
        <v>0</v>
      </c>
      <c r="W139" s="76" t="n">
        <v>1489</v>
      </c>
      <c r="X139" s="77" t="n">
        <v>0.3462790697674419</v>
      </c>
      <c r="Y139" s="76" t="n">
        <v>780</v>
      </c>
      <c r="Z139" s="79" t="n">
        <v>0.1813953488372093</v>
      </c>
      <c r="AA139" s="76" t="n">
        <v>75</v>
      </c>
      <c r="AB139" s="77" t="n">
        <v>0.01744186046511628</v>
      </c>
      <c r="AC139" s="76" t="n">
        <v>449</v>
      </c>
      <c r="AD139" s="77" t="n">
        <v>0.1044186046511628</v>
      </c>
      <c r="AE139" s="76" t="n">
        <v>51</v>
      </c>
      <c r="AF139" s="77" t="n">
        <v>0.1135857461024499</v>
      </c>
      <c r="AG139" s="76" t="n">
        <v>399</v>
      </c>
      <c r="AH139" s="77" t="n">
        <v>0.888641425389755</v>
      </c>
      <c r="AI139" s="80" t="n">
        <v>437</v>
      </c>
      <c r="AJ139" s="77" t="n">
        <v>0.1016279069767442</v>
      </c>
      <c r="AK139" s="80" t="n">
        <v>5</v>
      </c>
      <c r="AL139" s="77" t="n">
        <v>0.9450800915331807</v>
      </c>
      <c r="AM139" s="80" t="n">
        <v>433</v>
      </c>
      <c r="AN139" s="80" t="n">
        <v>413</v>
      </c>
      <c r="AO139" s="77" t="n">
        <v>0.09604651162790698</v>
      </c>
      <c r="AP139" s="77" t="n">
        <v>0.9198218262806236</v>
      </c>
      <c r="AQ139" s="78" t="n">
        <v>0.9818181818181818</v>
      </c>
      <c r="AR139" s="80" t="n">
        <v>0</v>
      </c>
      <c r="AS139" s="80" t="n">
        <v>0</v>
      </c>
      <c r="AT139" s="80" t="n">
        <v>131</v>
      </c>
      <c r="AU139" s="80" t="n">
        <v>127</v>
      </c>
      <c r="AV139" s="80" t="n">
        <v>126</v>
      </c>
      <c r="AW139" s="80" t="n">
        <v>75</v>
      </c>
      <c r="AX139" s="77" t="n">
        <v>0.02953488372093023</v>
      </c>
      <c r="AY139" s="77" t="n">
        <v>0.02930232558139535</v>
      </c>
      <c r="AZ139" s="77" t="n">
        <v>0.01744186046511628</v>
      </c>
      <c r="BA139" s="77" t="n">
        <v>0.3050847457627119</v>
      </c>
      <c r="BB139" s="80" t="n">
        <v>0</v>
      </c>
      <c r="BC139" s="80" t="n">
        <v>0</v>
      </c>
      <c r="BD139" s="78" t="n">
        <v>0.9636363636363636</v>
      </c>
      <c r="BE139" s="78" t="n">
        <v>1</v>
      </c>
      <c r="BF139" s="78" t="inlineStr">
        <is>
          <t>-</t>
        </is>
      </c>
    </row>
    <row r="140" ht="19.55" customHeight="1">
      <c r="A140" s="81" t="n">
        <v>137</v>
      </c>
      <c r="B140" s="76" t="inlineStr">
        <is>
          <t>全国</t>
        </is>
      </c>
      <c r="C140" s="82" t="n">
        <v>46147</v>
      </c>
      <c r="D140" s="76" t="inlineStr">
        <is>
          <t>N6</t>
        </is>
      </c>
      <c r="E140" s="76" t="n">
        <v>2787</v>
      </c>
      <c r="F140" s="76" t="n">
        <v>2594</v>
      </c>
      <c r="G140" s="77" t="n">
        <v>0.9307499102978113</v>
      </c>
      <c r="H140" s="76" t="n">
        <v>831</v>
      </c>
      <c r="I140" s="78" t="n">
        <v>0.2981700753498385</v>
      </c>
      <c r="J140" s="76" t="n">
        <v>2189</v>
      </c>
      <c r="K140" s="76" t="n">
        <v>2136</v>
      </c>
      <c r="L140" s="77" t="n">
        <v>0.976</v>
      </c>
      <c r="M140" s="76" t="n">
        <v>9622</v>
      </c>
      <c r="N140" s="76" t="n">
        <v>9401</v>
      </c>
      <c r="O140" s="76" t="n">
        <v>9456</v>
      </c>
      <c r="P140" s="77" t="n">
        <v>0.9827478694658075</v>
      </c>
      <c r="Q140" s="76" t="n">
        <v>50</v>
      </c>
      <c r="R140" s="76" t="n">
        <v>0</v>
      </c>
      <c r="S140" s="76" t="n">
        <v>0</v>
      </c>
      <c r="T140" s="77" t="n">
        <v>0</v>
      </c>
      <c r="U140" s="76" t="n">
        <v>0</v>
      </c>
      <c r="V140" s="77" t="n">
        <v>0</v>
      </c>
      <c r="W140" s="76" t="n">
        <v>1178</v>
      </c>
      <c r="X140" s="77" t="n">
        <v>0.4226767133118048</v>
      </c>
      <c r="Y140" s="76" t="n">
        <v>696</v>
      </c>
      <c r="Z140" s="79" t="n">
        <v>0.2497308934337998</v>
      </c>
      <c r="AA140" s="76" t="n">
        <v>154</v>
      </c>
      <c r="AB140" s="77" t="n">
        <v>0.05525654825977754</v>
      </c>
      <c r="AC140" s="76" t="n">
        <v>206</v>
      </c>
      <c r="AD140" s="77" t="n">
        <v>0.0739146035163258</v>
      </c>
      <c r="AE140" s="76" t="n">
        <v>26</v>
      </c>
      <c r="AF140" s="77" t="n">
        <v>0.1262135922330097</v>
      </c>
      <c r="AG140" s="76" t="n">
        <v>170</v>
      </c>
      <c r="AH140" s="77" t="n">
        <v>0.8252427184466019</v>
      </c>
      <c r="AI140" s="80" t="n">
        <v>182</v>
      </c>
      <c r="AJ140" s="77" t="n">
        <v>0.06530319339791892</v>
      </c>
      <c r="AK140" s="80" t="n">
        <v>3</v>
      </c>
      <c r="AL140" s="77" t="n">
        <v>0.8241758241758241</v>
      </c>
      <c r="AM140" s="80" t="n">
        <v>180</v>
      </c>
      <c r="AN140" s="80" t="n">
        <v>150</v>
      </c>
      <c r="AO140" s="77" t="n">
        <v>0.05382131324004306</v>
      </c>
      <c r="AP140" s="77" t="n">
        <v>0.7281553398058253</v>
      </c>
      <c r="AQ140" s="78" t="n">
        <v>0.9611111111111111</v>
      </c>
      <c r="AR140" s="80" t="n">
        <v>0</v>
      </c>
      <c r="AS140" s="80" t="n">
        <v>0</v>
      </c>
      <c r="AT140" s="80" t="n">
        <v>106</v>
      </c>
      <c r="AU140" s="80" t="n">
        <v>99</v>
      </c>
      <c r="AV140" s="80" t="n">
        <v>94</v>
      </c>
      <c r="AW140" s="80" t="n">
        <v>49</v>
      </c>
      <c r="AX140" s="77" t="n">
        <v>0.03552206673842842</v>
      </c>
      <c r="AY140" s="77" t="n">
        <v>0.03372802296376032</v>
      </c>
      <c r="AZ140" s="77" t="n">
        <v>0.0175816289917474</v>
      </c>
      <c r="BA140" s="77" t="n">
        <v>0.6266666666666667</v>
      </c>
      <c r="BB140" s="80" t="n">
        <v>0</v>
      </c>
      <c r="BC140" s="80" t="n">
        <v>0</v>
      </c>
      <c r="BD140" s="78" t="n">
        <v>1</v>
      </c>
      <c r="BE140" s="78" t="n">
        <v>1</v>
      </c>
      <c r="BF140" s="78" t="inlineStr">
        <is>
          <t>-</t>
        </is>
      </c>
    </row>
    <row r="141" ht="19.55" customHeight="1">
      <c r="A141" s="81" t="n">
        <v>138</v>
      </c>
      <c r="B141" s="76" t="inlineStr">
        <is>
          <t>全国</t>
        </is>
      </c>
      <c r="C141" s="82" t="n">
        <v>46147</v>
      </c>
      <c r="D141" s="76" t="inlineStr">
        <is>
          <t>N7</t>
        </is>
      </c>
      <c r="E141" s="76" t="n">
        <v>2772</v>
      </c>
      <c r="F141" s="76" t="n">
        <v>2445</v>
      </c>
      <c r="G141" s="77" t="n">
        <v>0.8820346320346321</v>
      </c>
      <c r="H141" s="76" t="n">
        <v>1198</v>
      </c>
      <c r="I141" s="78" t="n">
        <v>0.4321789321789322</v>
      </c>
      <c r="J141" s="76" t="n">
        <v>3305</v>
      </c>
      <c r="K141" s="76" t="n">
        <v>3213</v>
      </c>
      <c r="L141" s="77" t="n">
        <v>0.972</v>
      </c>
      <c r="M141" s="76" t="n">
        <v>10003</v>
      </c>
      <c r="N141" s="76" t="n">
        <v>9655</v>
      </c>
      <c r="O141" s="76" t="n">
        <v>9793</v>
      </c>
      <c r="P141" s="77" t="n">
        <v>0.9790062981105668</v>
      </c>
      <c r="Q141" s="76" t="n">
        <v>81</v>
      </c>
      <c r="R141" s="76" t="n">
        <v>0</v>
      </c>
      <c r="S141" s="76" t="n">
        <v>0</v>
      </c>
      <c r="T141" s="77" t="n">
        <v>0</v>
      </c>
      <c r="U141" s="76" t="n">
        <v>0</v>
      </c>
      <c r="V141" s="77" t="n">
        <v>0</v>
      </c>
      <c r="W141" s="76" t="n">
        <v>1286</v>
      </c>
      <c r="X141" s="77" t="n">
        <v>0.4639249639249639</v>
      </c>
      <c r="Y141" s="76" t="n">
        <v>657</v>
      </c>
      <c r="Z141" s="79" t="n">
        <v>0.237012987012987</v>
      </c>
      <c r="AA141" s="76" t="n">
        <v>72</v>
      </c>
      <c r="AB141" s="77" t="n">
        <v>0.02597402597402598</v>
      </c>
      <c r="AC141" s="76" t="n">
        <v>231</v>
      </c>
      <c r="AD141" s="77" t="n">
        <v>0.08333333333333333</v>
      </c>
      <c r="AE141" s="76" t="n">
        <v>26</v>
      </c>
      <c r="AF141" s="77" t="n">
        <v>0.1125541125541126</v>
      </c>
      <c r="AG141" s="76" t="n">
        <v>196</v>
      </c>
      <c r="AH141" s="77" t="n">
        <v>0.8484848484848485</v>
      </c>
      <c r="AI141" s="80" t="n">
        <v>208</v>
      </c>
      <c r="AJ141" s="77" t="n">
        <v>0.07503607503607504</v>
      </c>
      <c r="AK141" s="80" t="n">
        <v>4</v>
      </c>
      <c r="AL141" s="77" t="n">
        <v>0.8269230769230769</v>
      </c>
      <c r="AM141" s="80" t="n">
        <v>205</v>
      </c>
      <c r="AN141" s="80" t="n">
        <v>172</v>
      </c>
      <c r="AO141" s="77" t="n">
        <v>0.06204906204906205</v>
      </c>
      <c r="AP141" s="77" t="n">
        <v>0.7445887445887446</v>
      </c>
      <c r="AQ141" s="78" t="n">
        <v>0.9606986899563319</v>
      </c>
      <c r="AR141" s="80" t="n">
        <v>0</v>
      </c>
      <c r="AS141" s="80" t="n">
        <v>0</v>
      </c>
      <c r="AT141" s="80" t="n">
        <v>82</v>
      </c>
      <c r="AU141" s="80" t="n">
        <v>78</v>
      </c>
      <c r="AV141" s="80" t="n">
        <v>76</v>
      </c>
      <c r="AW141" s="80" t="n">
        <v>26</v>
      </c>
      <c r="AX141" s="77" t="n">
        <v>0.02813852813852814</v>
      </c>
      <c r="AY141" s="77" t="n">
        <v>0.02741702741702742</v>
      </c>
      <c r="AZ141" s="77" t="n">
        <v>0.00937950937950938</v>
      </c>
      <c r="BA141" s="77" t="n">
        <v>0.4418604651162791</v>
      </c>
      <c r="BB141" s="80" t="n">
        <v>0</v>
      </c>
      <c r="BC141" s="80" t="n">
        <v>0</v>
      </c>
      <c r="BD141" s="78" t="n">
        <v>0.9583333333333334</v>
      </c>
      <c r="BE141" s="78" t="n">
        <v>1</v>
      </c>
      <c r="BF141" s="78" t="inlineStr">
        <is>
          <t>-</t>
        </is>
      </c>
    </row>
    <row r="142" ht="19.55" customHeight="1">
      <c r="A142" s="81" t="n">
        <v>139</v>
      </c>
      <c r="B142" s="76" t="inlineStr">
        <is>
          <t>全国</t>
        </is>
      </c>
      <c r="C142" s="82" t="n">
        <v>46147</v>
      </c>
      <c r="D142" s="76" t="inlineStr">
        <is>
          <t>NX8</t>
        </is>
      </c>
      <c r="E142" s="76" t="n">
        <v>5337</v>
      </c>
      <c r="F142" s="76" t="n">
        <v>4701</v>
      </c>
      <c r="G142" s="77" t="n">
        <v>0.880831928049466</v>
      </c>
      <c r="H142" s="76" t="n">
        <v>1512</v>
      </c>
      <c r="I142" s="78" t="n">
        <v>0.2833052276559865</v>
      </c>
      <c r="J142" s="76" t="n">
        <v>8456</v>
      </c>
      <c r="K142" s="76" t="n">
        <v>8285</v>
      </c>
      <c r="L142" s="77" t="n">
        <v>0.98</v>
      </c>
      <c r="M142" s="76" t="n">
        <v>29692</v>
      </c>
      <c r="N142" s="76" t="n">
        <v>27815</v>
      </c>
      <c r="O142" s="76" t="n">
        <v>29272</v>
      </c>
      <c r="P142" s="77" t="n">
        <v>0.9858547756971575</v>
      </c>
      <c r="Q142" s="76" t="n">
        <v>97</v>
      </c>
      <c r="R142" s="76" t="n">
        <v>0</v>
      </c>
      <c r="S142" s="76" t="n">
        <v>0</v>
      </c>
      <c r="T142" s="77" t="n">
        <v>0</v>
      </c>
      <c r="U142" s="76" t="n">
        <v>0</v>
      </c>
      <c r="V142" s="77" t="n">
        <v>0</v>
      </c>
      <c r="W142" s="76" t="n">
        <v>1920</v>
      </c>
      <c r="X142" s="77" t="n">
        <v>0.359752670039348</v>
      </c>
      <c r="Y142" s="76" t="n">
        <v>1681</v>
      </c>
      <c r="Z142" s="79" t="n">
        <v>0.3149709574667416</v>
      </c>
      <c r="AA142" s="76" t="n">
        <v>61</v>
      </c>
      <c r="AB142" s="77" t="n">
        <v>0.01142964212104178</v>
      </c>
      <c r="AC142" s="76" t="n">
        <v>1176</v>
      </c>
      <c r="AD142" s="77" t="n">
        <v>0.2203485103991006</v>
      </c>
      <c r="AE142" s="76" t="n">
        <v>224</v>
      </c>
      <c r="AF142" s="77" t="n">
        <v>0.1904761904761905</v>
      </c>
      <c r="AG142" s="76" t="n">
        <v>1017</v>
      </c>
      <c r="AH142" s="77" t="n">
        <v>0.8647959183673469</v>
      </c>
      <c r="AI142" s="80" t="n">
        <v>1140</v>
      </c>
      <c r="AJ142" s="77" t="n">
        <v>0.2136031478358628</v>
      </c>
      <c r="AK142" s="80" t="n">
        <v>12</v>
      </c>
      <c r="AL142" s="77" t="n">
        <v>0.9131578947368421</v>
      </c>
      <c r="AM142" s="80" t="n">
        <v>1134</v>
      </c>
      <c r="AN142" s="80" t="n">
        <v>1041</v>
      </c>
      <c r="AO142" s="77" t="n">
        <v>0.195053400786959</v>
      </c>
      <c r="AP142" s="77" t="n">
        <v>0.8852040816326531</v>
      </c>
      <c r="AQ142" s="78" t="n">
        <v>0.9791666666666666</v>
      </c>
      <c r="AR142" s="80" t="n">
        <v>0</v>
      </c>
      <c r="AS142" s="80" t="n">
        <v>0</v>
      </c>
      <c r="AT142" s="80" t="n">
        <v>313</v>
      </c>
      <c r="AU142" s="80" t="n">
        <v>299</v>
      </c>
      <c r="AV142" s="80" t="n">
        <v>263</v>
      </c>
      <c r="AW142" s="80" t="n">
        <v>77</v>
      </c>
      <c r="AX142" s="77" t="n">
        <v>0.05602398351133596</v>
      </c>
      <c r="AY142" s="77" t="n">
        <v>0.04927862094809819</v>
      </c>
      <c r="AZ142" s="77" t="n">
        <v>0.01442758103803635</v>
      </c>
      <c r="BA142" s="77" t="n">
        <v>0.2526416906820365</v>
      </c>
      <c r="BB142" s="80" t="n">
        <v>0</v>
      </c>
      <c r="BC142" s="80" t="n">
        <v>0</v>
      </c>
      <c r="BD142" s="78" t="n">
        <v>1</v>
      </c>
      <c r="BE142" s="78" t="n">
        <v>1</v>
      </c>
      <c r="BF142" s="78" t="inlineStr">
        <is>
          <t>-</t>
        </is>
      </c>
    </row>
    <row r="143" ht="19.55" customHeight="1">
      <c r="A143" s="81" t="n">
        <v>140</v>
      </c>
      <c r="B143" s="76" t="inlineStr">
        <is>
          <t>全国</t>
        </is>
      </c>
      <c r="C143" s="82" t="n">
        <v>46147</v>
      </c>
      <c r="D143" s="76" t="inlineStr">
        <is>
          <t>天籁·鸿蒙座舱</t>
        </is>
      </c>
      <c r="E143" s="76" t="n">
        <v>3590</v>
      </c>
      <c r="F143" s="76" t="n">
        <v>3293</v>
      </c>
      <c r="G143" s="77" t="n">
        <v>0.9172701949860724</v>
      </c>
      <c r="H143" s="76" t="n">
        <v>1665</v>
      </c>
      <c r="I143" s="78" t="n">
        <v>0.4637883008356546</v>
      </c>
      <c r="J143" s="76" t="n">
        <v>5244</v>
      </c>
      <c r="K143" s="76" t="n">
        <v>5133</v>
      </c>
      <c r="L143" s="77" t="n">
        <v>0.979</v>
      </c>
      <c r="M143" s="76" t="n">
        <v>17266</v>
      </c>
      <c r="N143" s="76" t="n">
        <v>17156</v>
      </c>
      <c r="O143" s="76" t="n">
        <v>16980</v>
      </c>
      <c r="P143" s="77" t="n">
        <v>0.9834356538862504</v>
      </c>
      <c r="Q143" s="76" t="n">
        <v>99</v>
      </c>
      <c r="R143" s="76" t="n">
        <v>0</v>
      </c>
      <c r="S143" s="76" t="n">
        <v>0</v>
      </c>
      <c r="T143" s="77" t="n">
        <v>0</v>
      </c>
      <c r="U143" s="76" t="n">
        <v>0</v>
      </c>
      <c r="V143" s="77" t="n">
        <v>0</v>
      </c>
      <c r="W143" s="76" t="n">
        <v>1592</v>
      </c>
      <c r="X143" s="77" t="n">
        <v>0.4434540389972145</v>
      </c>
      <c r="Y143" s="76" t="n">
        <v>827</v>
      </c>
      <c r="Z143" s="79" t="n">
        <v>0.2303621169916435</v>
      </c>
      <c r="AA143" s="76" t="n">
        <v>150</v>
      </c>
      <c r="AB143" s="77" t="n">
        <v>0.04178272980501393</v>
      </c>
      <c r="AC143" s="76" t="n">
        <v>385</v>
      </c>
      <c r="AD143" s="77" t="n">
        <v>0.1072423398328691</v>
      </c>
      <c r="AE143" s="76" t="n">
        <v>49</v>
      </c>
      <c r="AF143" s="77" t="n">
        <v>0.1272727272727273</v>
      </c>
      <c r="AG143" s="76" t="n">
        <v>333</v>
      </c>
      <c r="AH143" s="77" t="n">
        <v>0.8649350649350649</v>
      </c>
      <c r="AI143" s="80" t="n">
        <v>364</v>
      </c>
      <c r="AJ143" s="77" t="n">
        <v>0.1013927576601671</v>
      </c>
      <c r="AK143" s="80" t="n">
        <v>8</v>
      </c>
      <c r="AL143" s="77" t="n">
        <v>0.9532967032967034</v>
      </c>
      <c r="AM143" s="80" t="n">
        <v>364</v>
      </c>
      <c r="AN143" s="80" t="n">
        <v>347</v>
      </c>
      <c r="AO143" s="77" t="n">
        <v>0.09665738161559889</v>
      </c>
      <c r="AP143" s="77" t="n">
        <v>0.9012987012987013</v>
      </c>
      <c r="AQ143" s="78" t="n">
        <v>0.95</v>
      </c>
      <c r="AR143" s="80" t="n">
        <v>0</v>
      </c>
      <c r="AS143" s="80" t="n">
        <v>0</v>
      </c>
      <c r="AT143" s="80" t="n">
        <v>117</v>
      </c>
      <c r="AU143" s="80" t="n">
        <v>112</v>
      </c>
      <c r="AV143" s="80" t="n">
        <v>112</v>
      </c>
      <c r="AW143" s="80" t="n">
        <v>63</v>
      </c>
      <c r="AX143" s="77" t="n">
        <v>0.03119777158774373</v>
      </c>
      <c r="AY143" s="77" t="n">
        <v>0.03119777158774373</v>
      </c>
      <c r="AZ143" s="77" t="n">
        <v>0.01754874651810585</v>
      </c>
      <c r="BA143" s="77" t="n">
        <v>0.3227665706051873</v>
      </c>
      <c r="BB143" s="80" t="n">
        <v>0</v>
      </c>
      <c r="BC143" s="80" t="n">
        <v>1</v>
      </c>
      <c r="BD143" s="78" t="n">
        <v>1</v>
      </c>
      <c r="BE143" s="78" t="n">
        <v>0.9259259259259259</v>
      </c>
      <c r="BF143" s="78" t="inlineStr">
        <is>
          <t>-</t>
        </is>
      </c>
    </row>
    <row r="144" ht="19.55" customHeight="1">
      <c r="A144" s="81" t="n">
        <v>141</v>
      </c>
      <c r="B144" s="76" t="inlineStr">
        <is>
          <t>全国</t>
        </is>
      </c>
      <c r="C144" s="82" t="n">
        <v>46148</v>
      </c>
      <c r="D144" s="76" t="inlineStr">
        <is>
          <t>N6</t>
        </is>
      </c>
      <c r="E144" s="76" t="n">
        <v>2581</v>
      </c>
      <c r="F144" s="76" t="n">
        <v>2441</v>
      </c>
      <c r="G144" s="77" t="n">
        <v>0.945757458349477</v>
      </c>
      <c r="H144" s="76" t="n">
        <v>1004</v>
      </c>
      <c r="I144" s="78" t="n">
        <v>0.3889965129794653</v>
      </c>
      <c r="J144" s="76" t="n">
        <v>3551</v>
      </c>
      <c r="K144" s="76" t="n">
        <v>3436</v>
      </c>
      <c r="L144" s="77" t="n">
        <v>0.968</v>
      </c>
      <c r="M144" s="76" t="n">
        <v>10752</v>
      </c>
      <c r="N144" s="76" t="n">
        <v>10736</v>
      </c>
      <c r="O144" s="76" t="n">
        <v>10548</v>
      </c>
      <c r="P144" s="77" t="n">
        <v>0.9810267857142857</v>
      </c>
      <c r="Q144" s="76" t="n">
        <v>59</v>
      </c>
      <c r="R144" s="76" t="n">
        <v>0</v>
      </c>
      <c r="S144" s="76" t="n">
        <v>0</v>
      </c>
      <c r="T144" s="77" t="n">
        <v>0</v>
      </c>
      <c r="U144" s="76" t="n">
        <v>0</v>
      </c>
      <c r="V144" s="77" t="n">
        <v>0</v>
      </c>
      <c r="W144" s="76" t="n">
        <v>1101</v>
      </c>
      <c r="X144" s="77" t="n">
        <v>0.4265788454087563</v>
      </c>
      <c r="Y144" s="76" t="n">
        <v>864</v>
      </c>
      <c r="Z144" s="79" t="n">
        <v>0.3347539713289422</v>
      </c>
      <c r="AA144" s="76" t="n">
        <v>473</v>
      </c>
      <c r="AB144" s="77" t="n">
        <v>0.1832623014335529</v>
      </c>
      <c r="AC144" s="76" t="n">
        <v>122</v>
      </c>
      <c r="AD144" s="77" t="n">
        <v>0.04726850058117009</v>
      </c>
      <c r="AE144" s="76" t="n">
        <v>18</v>
      </c>
      <c r="AF144" s="77" t="n">
        <v>0.1475409836065574</v>
      </c>
      <c r="AG144" s="76" t="n">
        <v>99</v>
      </c>
      <c r="AH144" s="77" t="n">
        <v>0.8114754098360656</v>
      </c>
      <c r="AI144" s="80" t="n">
        <v>113</v>
      </c>
      <c r="AJ144" s="77" t="n">
        <v>0.04378148004649361</v>
      </c>
      <c r="AK144" s="80" t="n">
        <v>4</v>
      </c>
      <c r="AL144" s="77" t="n">
        <v>0.8672566371681416</v>
      </c>
      <c r="AM144" s="80" t="n">
        <v>113</v>
      </c>
      <c r="AN144" s="80" t="n">
        <v>98</v>
      </c>
      <c r="AO144" s="77" t="n">
        <v>0.03796977915536614</v>
      </c>
      <c r="AP144" s="77" t="n">
        <v>0.8032786885245902</v>
      </c>
      <c r="AQ144" s="78" t="n">
        <v>0.9880239520958084</v>
      </c>
      <c r="AR144" s="80" t="n">
        <v>0</v>
      </c>
      <c r="AS144" s="80" t="n">
        <v>0</v>
      </c>
      <c r="AT144" s="80" t="n">
        <v>43</v>
      </c>
      <c r="AU144" s="80" t="n">
        <v>37</v>
      </c>
      <c r="AV144" s="80" t="n">
        <v>42</v>
      </c>
      <c r="AW144" s="80" t="n">
        <v>65</v>
      </c>
      <c r="AX144" s="77" t="n">
        <v>0.01433552886478109</v>
      </c>
      <c r="AY144" s="77" t="n">
        <v>0.01627276249515692</v>
      </c>
      <c r="AZ144" s="77" t="n">
        <v>0.0251840371948857</v>
      </c>
      <c r="BA144" s="77" t="n">
        <v>0.4285714285714285</v>
      </c>
      <c r="BB144" s="80" t="n">
        <v>0</v>
      </c>
      <c r="BC144" s="80" t="n">
        <v>0</v>
      </c>
      <c r="BD144" s="78" t="n">
        <v>1</v>
      </c>
      <c r="BE144" s="78" t="n">
        <v>1</v>
      </c>
      <c r="BF144" s="78" t="inlineStr">
        <is>
          <t>-</t>
        </is>
      </c>
    </row>
    <row r="145" ht="19.55" customHeight="1">
      <c r="A145" s="81" t="n">
        <v>142</v>
      </c>
      <c r="B145" s="76" t="inlineStr">
        <is>
          <t>全国</t>
        </is>
      </c>
      <c r="C145" s="82" t="n">
        <v>46148</v>
      </c>
      <c r="D145" s="76" t="inlineStr">
        <is>
          <t>N7</t>
        </is>
      </c>
      <c r="E145" s="76" t="n">
        <v>1938</v>
      </c>
      <c r="F145" s="76" t="n">
        <v>1828</v>
      </c>
      <c r="G145" s="77" t="n">
        <v>0.9432404540763674</v>
      </c>
      <c r="H145" s="76" t="n">
        <v>601</v>
      </c>
      <c r="I145" s="78" t="n">
        <v>0.3101135190918473</v>
      </c>
      <c r="J145" s="76" t="n">
        <v>2903</v>
      </c>
      <c r="K145" s="76" t="n">
        <v>2755</v>
      </c>
      <c r="L145" s="77" t="n">
        <v>0.949</v>
      </c>
      <c r="M145" s="76" t="n">
        <v>9750</v>
      </c>
      <c r="N145" s="76" t="n">
        <v>9197</v>
      </c>
      <c r="O145" s="76" t="n">
        <v>9521</v>
      </c>
      <c r="P145" s="77" t="n">
        <v>0.9765128205128205</v>
      </c>
      <c r="Q145" s="76" t="n">
        <v>98</v>
      </c>
      <c r="R145" s="76" t="n">
        <v>0</v>
      </c>
      <c r="S145" s="76" t="n">
        <v>0</v>
      </c>
      <c r="T145" s="77" t="n">
        <v>0</v>
      </c>
      <c r="U145" s="76" t="n">
        <v>0</v>
      </c>
      <c r="V145" s="77" t="n">
        <v>0</v>
      </c>
      <c r="W145" s="76" t="n">
        <v>1015</v>
      </c>
      <c r="X145" s="77" t="n">
        <v>0.5237358101135191</v>
      </c>
      <c r="Y145" s="76" t="n">
        <v>768</v>
      </c>
      <c r="Z145" s="79" t="n">
        <v>0.3962848297213623</v>
      </c>
      <c r="AA145" s="76" t="n">
        <v>227</v>
      </c>
      <c r="AB145" s="77" t="n">
        <v>0.1171310629514964</v>
      </c>
      <c r="AC145" s="76" t="n">
        <v>151</v>
      </c>
      <c r="AD145" s="77" t="n">
        <v>0.07791537667698659</v>
      </c>
      <c r="AE145" s="76" t="n">
        <v>20</v>
      </c>
      <c r="AF145" s="77" t="n">
        <v>0.1324503311258278</v>
      </c>
      <c r="AG145" s="76" t="n">
        <v>120</v>
      </c>
      <c r="AH145" s="77" t="n">
        <v>0.7947019867549668</v>
      </c>
      <c r="AI145" s="80" t="n">
        <v>127</v>
      </c>
      <c r="AJ145" s="77" t="n">
        <v>0.06553147574819401</v>
      </c>
      <c r="AK145" s="80" t="n">
        <v>1</v>
      </c>
      <c r="AL145" s="77" t="n">
        <v>0.8740157480314961</v>
      </c>
      <c r="AM145" s="80" t="n">
        <v>128</v>
      </c>
      <c r="AN145" s="80" t="n">
        <v>111</v>
      </c>
      <c r="AO145" s="77" t="n">
        <v>0.05727554179566564</v>
      </c>
      <c r="AP145" s="77" t="n">
        <v>0.7350993377483444</v>
      </c>
      <c r="AQ145" s="78" t="n">
        <v>0.9735449735449735</v>
      </c>
      <c r="AR145" s="80" t="n">
        <v>0</v>
      </c>
      <c r="AS145" s="80" t="n">
        <v>0</v>
      </c>
      <c r="AT145" s="80" t="n">
        <v>44</v>
      </c>
      <c r="AU145" s="80" t="n">
        <v>39</v>
      </c>
      <c r="AV145" s="80" t="n">
        <v>43</v>
      </c>
      <c r="AW145" s="80" t="n">
        <v>57</v>
      </c>
      <c r="AX145" s="77" t="n">
        <v>0.02012383900928793</v>
      </c>
      <c r="AY145" s="77" t="n">
        <v>0.02218782249742002</v>
      </c>
      <c r="AZ145" s="77" t="n">
        <v>0.02941176470588235</v>
      </c>
      <c r="BA145" s="77" t="n">
        <v>0.3873873873873874</v>
      </c>
      <c r="BB145" s="80" t="n">
        <v>0</v>
      </c>
      <c r="BC145" s="80" t="n">
        <v>0</v>
      </c>
      <c r="BD145" s="78" t="n">
        <v>1</v>
      </c>
      <c r="BE145" s="78" t="n">
        <v>0.9285714285714286</v>
      </c>
      <c r="BF145" s="78" t="inlineStr">
        <is>
          <t>-</t>
        </is>
      </c>
    </row>
    <row r="146" ht="19.55" customHeight="1">
      <c r="A146" s="81" t="n">
        <v>143</v>
      </c>
      <c r="B146" s="76" t="inlineStr">
        <is>
          <t>全国</t>
        </is>
      </c>
      <c r="C146" s="82" t="n">
        <v>46148</v>
      </c>
      <c r="D146" s="76" t="inlineStr">
        <is>
          <t>NX8</t>
        </is>
      </c>
      <c r="E146" s="76" t="n">
        <v>4071</v>
      </c>
      <c r="F146" s="76" t="n">
        <v>3843</v>
      </c>
      <c r="G146" s="77" t="n">
        <v>0.9439941046425939</v>
      </c>
      <c r="H146" s="76" t="n">
        <v>1039</v>
      </c>
      <c r="I146" s="78" t="n">
        <v>0.255219847703267</v>
      </c>
      <c r="J146" s="76" t="n">
        <v>6768</v>
      </c>
      <c r="K146" s="76" t="n">
        <v>6568</v>
      </c>
      <c r="L146" s="77" t="n">
        <v>0.97</v>
      </c>
      <c r="M146" s="76" t="n">
        <v>27107</v>
      </c>
      <c r="N146" s="76" t="n">
        <v>26282</v>
      </c>
      <c r="O146" s="76" t="n">
        <v>26672</v>
      </c>
      <c r="P146" s="77" t="n">
        <v>0.9839524845980743</v>
      </c>
      <c r="Q146" s="76" t="n">
        <v>94</v>
      </c>
      <c r="R146" s="76" t="n">
        <v>0</v>
      </c>
      <c r="S146" s="76" t="n">
        <v>0</v>
      </c>
      <c r="T146" s="77" t="n">
        <v>0</v>
      </c>
      <c r="U146" s="76" t="n">
        <v>0</v>
      </c>
      <c r="V146" s="77" t="n">
        <v>0</v>
      </c>
      <c r="W146" s="76" t="n">
        <v>1747</v>
      </c>
      <c r="X146" s="77" t="n">
        <v>0.4291328911815279</v>
      </c>
      <c r="Y146" s="76" t="n">
        <v>1856</v>
      </c>
      <c r="Z146" s="79" t="n">
        <v>0.4559076394006387</v>
      </c>
      <c r="AA146" s="76" t="n">
        <v>238</v>
      </c>
      <c r="AB146" s="77" t="n">
        <v>0.05846229427659052</v>
      </c>
      <c r="AC146" s="76" t="n">
        <v>685</v>
      </c>
      <c r="AD146" s="77" t="n">
        <v>0.1682633259641366</v>
      </c>
      <c r="AE146" s="76" t="n">
        <v>176</v>
      </c>
      <c r="AF146" s="77" t="n">
        <v>0.2569343065693431</v>
      </c>
      <c r="AG146" s="76" t="n">
        <v>557</v>
      </c>
      <c r="AH146" s="77" t="n">
        <v>0.8131386861313868</v>
      </c>
      <c r="AI146" s="80" t="n">
        <v>719</v>
      </c>
      <c r="AJ146" s="77" t="n">
        <v>0.1766150822893638</v>
      </c>
      <c r="AK146" s="80" t="n">
        <v>7</v>
      </c>
      <c r="AL146" s="77" t="n">
        <v>0.8984700973574409</v>
      </c>
      <c r="AM146" s="80" t="n">
        <v>716</v>
      </c>
      <c r="AN146" s="80" t="n">
        <v>646</v>
      </c>
      <c r="AO146" s="77" t="n">
        <v>0.1586833701793171</v>
      </c>
      <c r="AP146" s="77" t="n">
        <v>0.9430656934306569</v>
      </c>
      <c r="AQ146" s="78" t="n">
        <v>0.9837251356238698</v>
      </c>
      <c r="AR146" s="80" t="n">
        <v>0</v>
      </c>
      <c r="AS146" s="80" t="n">
        <v>0</v>
      </c>
      <c r="AT146" s="80" t="n">
        <v>103</v>
      </c>
      <c r="AU146" s="80" t="n">
        <v>89</v>
      </c>
      <c r="AV146" s="80" t="n">
        <v>101</v>
      </c>
      <c r="AW146" s="80" t="n">
        <v>155</v>
      </c>
      <c r="AX146" s="77" t="n">
        <v>0.02186195038074183</v>
      </c>
      <c r="AY146" s="77" t="n">
        <v>0.0248096290837632</v>
      </c>
      <c r="AZ146" s="77" t="n">
        <v>0.03807418324735937</v>
      </c>
      <c r="BA146" s="77" t="n">
        <v>0.1563467492260062</v>
      </c>
      <c r="BB146" s="80" t="n">
        <v>0</v>
      </c>
      <c r="BC146" s="80" t="n">
        <v>0</v>
      </c>
      <c r="BD146" s="78" t="n">
        <v>0.9574468085106383</v>
      </c>
      <c r="BE146" s="78" t="n">
        <v>1</v>
      </c>
      <c r="BF146" s="78" t="inlineStr">
        <is>
          <t>-</t>
        </is>
      </c>
    </row>
    <row r="147" ht="19.55" customHeight="1">
      <c r="A147" s="81" t="n">
        <v>144</v>
      </c>
      <c r="B147" s="76" t="inlineStr">
        <is>
          <t>全国</t>
        </is>
      </c>
      <c r="C147" s="82" t="n">
        <v>46148</v>
      </c>
      <c r="D147" s="76" t="inlineStr">
        <is>
          <t>天籁·鸿蒙座舱</t>
        </is>
      </c>
      <c r="E147" s="76" t="n">
        <v>3163</v>
      </c>
      <c r="F147" s="76" t="n">
        <v>2999</v>
      </c>
      <c r="G147" s="77" t="n">
        <v>0.9481504900411002</v>
      </c>
      <c r="H147" s="76" t="n">
        <v>1449</v>
      </c>
      <c r="I147" s="78" t="n">
        <v>0.4581093898197913</v>
      </c>
      <c r="J147" s="76" t="n">
        <v>4764</v>
      </c>
      <c r="K147" s="76" t="n">
        <v>4572</v>
      </c>
      <c r="L147" s="77" t="n">
        <v>0.96</v>
      </c>
      <c r="M147" s="76" t="n">
        <v>16697</v>
      </c>
      <c r="N147" s="76" t="n">
        <v>16062</v>
      </c>
      <c r="O147" s="76" t="n">
        <v>16375</v>
      </c>
      <c r="P147" s="77" t="n">
        <v>0.9807150985206924</v>
      </c>
      <c r="Q147" s="76" t="n">
        <v>119</v>
      </c>
      <c r="R147" s="76" t="n">
        <v>0</v>
      </c>
      <c r="S147" s="76" t="n">
        <v>0</v>
      </c>
      <c r="T147" s="77" t="n">
        <v>0</v>
      </c>
      <c r="U147" s="76" t="n">
        <v>0</v>
      </c>
      <c r="V147" s="77" t="n">
        <v>0</v>
      </c>
      <c r="W147" s="76" t="n">
        <v>1382</v>
      </c>
      <c r="X147" s="77" t="n">
        <v>0.4369269680682896</v>
      </c>
      <c r="Y147" s="76" t="n">
        <v>1139</v>
      </c>
      <c r="Z147" s="79" t="n">
        <v>0.3601011697755296</v>
      </c>
      <c r="AA147" s="76" t="n">
        <v>388</v>
      </c>
      <c r="AB147" s="77" t="n">
        <v>0.1226683528295922</v>
      </c>
      <c r="AC147" s="76" t="n">
        <v>283</v>
      </c>
      <c r="AD147" s="77" t="n">
        <v>0.0894720202339551</v>
      </c>
      <c r="AE147" s="76" t="n">
        <v>54</v>
      </c>
      <c r="AF147" s="77" t="n">
        <v>0.1908127208480565</v>
      </c>
      <c r="AG147" s="76" t="n">
        <v>243</v>
      </c>
      <c r="AH147" s="77" t="n">
        <v>0.8586572438162544</v>
      </c>
      <c r="AI147" s="80" t="n">
        <v>285</v>
      </c>
      <c r="AJ147" s="77" t="n">
        <v>0.09010433133101486</v>
      </c>
      <c r="AK147" s="80" t="n">
        <v>6</v>
      </c>
      <c r="AL147" s="77" t="n">
        <v>0.9087719298245615</v>
      </c>
      <c r="AM147" s="80" t="n">
        <v>285</v>
      </c>
      <c r="AN147" s="80" t="n">
        <v>259</v>
      </c>
      <c r="AO147" s="77" t="n">
        <v>0.08188428706923806</v>
      </c>
      <c r="AP147" s="77" t="n">
        <v>0.9151943462897526</v>
      </c>
      <c r="AQ147" s="78" t="n">
        <v>0.9624277456647399</v>
      </c>
      <c r="AR147" s="80" t="n">
        <v>0</v>
      </c>
      <c r="AS147" s="80" t="n">
        <v>0</v>
      </c>
      <c r="AT147" s="80" t="n">
        <v>67</v>
      </c>
      <c r="AU147" s="80" t="n">
        <v>60</v>
      </c>
      <c r="AV147" s="80" t="n">
        <v>70</v>
      </c>
      <c r="AW147" s="80" t="n">
        <v>91</v>
      </c>
      <c r="AX147" s="77" t="n">
        <v>0.0189693329117926</v>
      </c>
      <c r="AY147" s="77" t="n">
        <v>0.02213088839709137</v>
      </c>
      <c r="AZ147" s="77" t="n">
        <v>0.02877015491621878</v>
      </c>
      <c r="BA147" s="77" t="n">
        <v>0.2702702702702703</v>
      </c>
      <c r="BB147" s="80" t="n">
        <v>0</v>
      </c>
      <c r="BC147" s="80" t="n">
        <v>0</v>
      </c>
      <c r="BD147" s="78" t="n">
        <v>0.9722222222222222</v>
      </c>
      <c r="BE147" s="78" t="n">
        <v>1</v>
      </c>
      <c r="BF147" s="78" t="inlineStr">
        <is>
          <t>-</t>
        </is>
      </c>
    </row>
    <row r="148" ht="19.55" customHeight="1">
      <c r="A148" s="81" t="n">
        <v>145</v>
      </c>
      <c r="B148" s="76" t="inlineStr">
        <is>
          <t>全国</t>
        </is>
      </c>
      <c r="C148" s="82" t="n">
        <v>46149</v>
      </c>
      <c r="D148" s="76" t="inlineStr">
        <is>
          <t>N6</t>
        </is>
      </c>
      <c r="E148" s="76" t="n">
        <v>2154</v>
      </c>
      <c r="F148" s="76" t="n">
        <v>2093</v>
      </c>
      <c r="G148" s="77" t="n">
        <v>0.9716805942432684</v>
      </c>
      <c r="H148" s="76" t="n">
        <v>662</v>
      </c>
      <c r="I148" s="78" t="n">
        <v>0.3073351903435469</v>
      </c>
      <c r="J148" s="76" t="n">
        <v>1703</v>
      </c>
      <c r="K148" s="76" t="n">
        <v>1624</v>
      </c>
      <c r="L148" s="77" t="n">
        <v>0.954</v>
      </c>
      <c r="M148" s="76" t="n">
        <v>9199</v>
      </c>
      <c r="N148" s="76" t="n">
        <v>8791</v>
      </c>
      <c r="O148" s="76" t="n">
        <v>9050</v>
      </c>
      <c r="P148" s="77" t="n">
        <v>0.9838025872377433</v>
      </c>
      <c r="Q148" s="76" t="n">
        <v>79</v>
      </c>
      <c r="R148" s="76" t="n">
        <v>137422</v>
      </c>
      <c r="S148" s="76" t="n">
        <v>73661</v>
      </c>
      <c r="T148" s="77" t="n">
        <v>0.5360204334094978</v>
      </c>
      <c r="U148" s="76" t="n">
        <v>28083</v>
      </c>
      <c r="V148" s="77" t="n">
        <v>0.2043559255432172</v>
      </c>
      <c r="W148" s="76" t="n">
        <v>1447</v>
      </c>
      <c r="X148" s="77" t="n">
        <v>0.6717734447539462</v>
      </c>
      <c r="Y148" s="76" t="n">
        <v>1067</v>
      </c>
      <c r="Z148" s="79" t="n">
        <v>0.4953574744661096</v>
      </c>
      <c r="AA148" s="76" t="n">
        <v>452</v>
      </c>
      <c r="AB148" s="77" t="n">
        <v>0.2098421541318477</v>
      </c>
      <c r="AC148" s="76" t="n">
        <v>139</v>
      </c>
      <c r="AD148" s="77" t="n">
        <v>0.06453110492107707</v>
      </c>
      <c r="AE148" s="76" t="n">
        <v>24</v>
      </c>
      <c r="AF148" s="77" t="n">
        <v>0.1726618705035971</v>
      </c>
      <c r="AG148" s="76" t="n">
        <v>104</v>
      </c>
      <c r="AH148" s="77" t="n">
        <v>0.7482014388489209</v>
      </c>
      <c r="AI148" s="80" t="n">
        <v>141</v>
      </c>
      <c r="AJ148" s="77" t="n">
        <v>0.06545961002785515</v>
      </c>
      <c r="AK148" s="80" t="n">
        <v>4</v>
      </c>
      <c r="AL148" s="77" t="n">
        <v>0.7730496453900709</v>
      </c>
      <c r="AM148" s="80" t="n">
        <v>140</v>
      </c>
      <c r="AN148" s="80" t="n">
        <v>109</v>
      </c>
      <c r="AO148" s="77" t="n">
        <v>0.05060352831940575</v>
      </c>
      <c r="AP148" s="77" t="n">
        <v>0.7841726618705036</v>
      </c>
      <c r="AQ148" s="78" t="n">
        <v>1</v>
      </c>
      <c r="AR148" s="80" t="n">
        <v>0</v>
      </c>
      <c r="AS148" s="80" t="n">
        <v>0</v>
      </c>
      <c r="AT148" s="80" t="n">
        <v>41</v>
      </c>
      <c r="AU148" s="80" t="n">
        <v>38</v>
      </c>
      <c r="AV148" s="80" t="n">
        <v>42</v>
      </c>
      <c r="AW148" s="80" t="n">
        <v>66</v>
      </c>
      <c r="AX148" s="77" t="n">
        <v>0.01764159702878366</v>
      </c>
      <c r="AY148" s="77" t="n">
        <v>0.01949860724233983</v>
      </c>
      <c r="AZ148" s="77" t="n">
        <v>0.03064066852367688</v>
      </c>
      <c r="BA148" s="77" t="n">
        <v>0.3853211009174312</v>
      </c>
      <c r="BB148" s="80" t="n">
        <v>0</v>
      </c>
      <c r="BC148" s="80" t="n">
        <v>0</v>
      </c>
      <c r="BD148" s="78" t="n">
        <v>1</v>
      </c>
      <c r="BE148" s="78" t="n">
        <v>1</v>
      </c>
      <c r="BF148" s="78" t="inlineStr">
        <is>
          <t>-</t>
        </is>
      </c>
    </row>
    <row r="149" ht="19.55" customHeight="1">
      <c r="A149" s="81" t="n">
        <v>146</v>
      </c>
      <c r="B149" s="76" t="inlineStr">
        <is>
          <t>全国</t>
        </is>
      </c>
      <c r="C149" s="82" t="n">
        <v>46149</v>
      </c>
      <c r="D149" s="76" t="inlineStr">
        <is>
          <t>N7</t>
        </is>
      </c>
      <c r="E149" s="76" t="n">
        <v>1543</v>
      </c>
      <c r="F149" s="76" t="n">
        <v>1487</v>
      </c>
      <c r="G149" s="77" t="n">
        <v>0.9637070641607258</v>
      </c>
      <c r="H149" s="76" t="n">
        <v>541</v>
      </c>
      <c r="I149" s="78" t="n">
        <v>0.3506156837329877</v>
      </c>
      <c r="J149" s="76" t="n">
        <v>1395</v>
      </c>
      <c r="K149" s="76" t="n">
        <v>1343</v>
      </c>
      <c r="L149" s="77" t="n">
        <v>0.963</v>
      </c>
      <c r="M149" s="76" t="n">
        <v>7646</v>
      </c>
      <c r="N149" s="76" t="n">
        <v>7670</v>
      </c>
      <c r="O149" s="76" t="n">
        <v>7499</v>
      </c>
      <c r="P149" s="77" t="n">
        <v>0.9807742610515302</v>
      </c>
      <c r="Q149" s="76" t="n">
        <v>98</v>
      </c>
      <c r="R149" s="76" t="n">
        <v>329582</v>
      </c>
      <c r="S149" s="76" t="n">
        <v>157402</v>
      </c>
      <c r="T149" s="77" t="n">
        <v>0.4775806931203767</v>
      </c>
      <c r="U149" s="76" t="n">
        <v>55626</v>
      </c>
      <c r="V149" s="77" t="n">
        <v>0.1687774210970259</v>
      </c>
      <c r="W149" s="76" t="n">
        <v>1108</v>
      </c>
      <c r="X149" s="77" t="n">
        <v>0.7180816591056384</v>
      </c>
      <c r="Y149" s="76" t="n">
        <v>821</v>
      </c>
      <c r="Z149" s="79" t="n">
        <v>0.5320803629293583</v>
      </c>
      <c r="AA149" s="76" t="n">
        <v>738</v>
      </c>
      <c r="AB149" s="77" t="n">
        <v>0.4782890473104342</v>
      </c>
      <c r="AC149" s="76" t="n">
        <v>141</v>
      </c>
      <c r="AD149" s="77" t="n">
        <v>0.09138042773817238</v>
      </c>
      <c r="AE149" s="76" t="n">
        <v>10</v>
      </c>
      <c r="AF149" s="77" t="n">
        <v>0.07092198581560284</v>
      </c>
      <c r="AG149" s="76" t="n">
        <v>105</v>
      </c>
      <c r="AH149" s="77" t="n">
        <v>0.7446808510638298</v>
      </c>
      <c r="AI149" s="80" t="n">
        <v>129</v>
      </c>
      <c r="AJ149" s="77" t="n">
        <v>0.08360337005832794</v>
      </c>
      <c r="AK149" s="80" t="n">
        <v>3</v>
      </c>
      <c r="AL149" s="77" t="n">
        <v>0.7596899224806202</v>
      </c>
      <c r="AM149" s="80" t="n">
        <v>128</v>
      </c>
      <c r="AN149" s="80" t="n">
        <v>98</v>
      </c>
      <c r="AO149" s="77" t="n">
        <v>0.06351263771872975</v>
      </c>
      <c r="AP149" s="77" t="n">
        <v>0.6950354609929078</v>
      </c>
      <c r="AQ149" s="78" t="n">
        <v>0.9504132231404959</v>
      </c>
      <c r="AR149" s="80" t="n">
        <v>0</v>
      </c>
      <c r="AS149" s="80" t="n">
        <v>0</v>
      </c>
      <c r="AT149" s="80" t="n">
        <v>52</v>
      </c>
      <c r="AU149" s="80" t="n">
        <v>43</v>
      </c>
      <c r="AV149" s="80" t="n">
        <v>44</v>
      </c>
      <c r="AW149" s="80" t="n">
        <v>67</v>
      </c>
      <c r="AX149" s="77" t="n">
        <v>0.02786779001944265</v>
      </c>
      <c r="AY149" s="77" t="n">
        <v>0.02851587815942968</v>
      </c>
      <c r="AZ149" s="77" t="n">
        <v>0.04342190537913156</v>
      </c>
      <c r="BA149" s="77" t="n">
        <v>0.4489795918367347</v>
      </c>
      <c r="BB149" s="80" t="n">
        <v>0</v>
      </c>
      <c r="BC149" s="80" t="n">
        <v>0</v>
      </c>
      <c r="BD149" s="78" t="n">
        <v>1</v>
      </c>
      <c r="BE149" s="78" t="n">
        <v>1</v>
      </c>
      <c r="BF149" s="78" t="inlineStr">
        <is>
          <t>-</t>
        </is>
      </c>
    </row>
    <row r="150" ht="19.55" customHeight="1">
      <c r="A150" s="81" t="n">
        <v>147</v>
      </c>
      <c r="B150" s="76" t="inlineStr">
        <is>
          <t>全国</t>
        </is>
      </c>
      <c r="C150" s="82" t="n">
        <v>46149</v>
      </c>
      <c r="D150" s="76" t="inlineStr">
        <is>
          <t>NX8</t>
        </is>
      </c>
      <c r="E150" s="76" t="n">
        <v>4874</v>
      </c>
      <c r="F150" s="76" t="n">
        <v>4756</v>
      </c>
      <c r="G150" s="77" t="n">
        <v>0.975789905621666</v>
      </c>
      <c r="H150" s="76" t="n">
        <v>1332</v>
      </c>
      <c r="I150" s="78" t="n">
        <v>0.2732868280672959</v>
      </c>
      <c r="J150" s="76" t="n">
        <v>3993</v>
      </c>
      <c r="K150" s="76" t="n">
        <v>3902</v>
      </c>
      <c r="L150" s="77" t="n">
        <v>0.977</v>
      </c>
      <c r="M150" s="76" t="n">
        <v>24113</v>
      </c>
      <c r="N150" s="76" t="n">
        <v>23443</v>
      </c>
      <c r="O150" s="76" t="n">
        <v>23797</v>
      </c>
      <c r="P150" s="77" t="n">
        <v>0.9868950358727657</v>
      </c>
      <c r="Q150" s="76" t="n">
        <v>213</v>
      </c>
      <c r="R150" s="76" t="n">
        <v>186289</v>
      </c>
      <c r="S150" s="76" t="n">
        <v>74208</v>
      </c>
      <c r="T150" s="77" t="n">
        <v>0.3983488021300238</v>
      </c>
      <c r="U150" s="76" t="n">
        <v>43518</v>
      </c>
      <c r="V150" s="77" t="n">
        <v>0.2336047753758944</v>
      </c>
      <c r="W150" s="76" t="n">
        <v>2431</v>
      </c>
      <c r="X150" s="77" t="n">
        <v>0.4987689782519491</v>
      </c>
      <c r="Y150" s="76" t="n">
        <v>1750</v>
      </c>
      <c r="Z150" s="79" t="n">
        <v>0.359048009848174</v>
      </c>
      <c r="AA150" s="76" t="n">
        <v>371</v>
      </c>
      <c r="AB150" s="77" t="n">
        <v>0.07611817808781289</v>
      </c>
      <c r="AC150" s="76" t="n">
        <v>842</v>
      </c>
      <c r="AD150" s="77" t="n">
        <v>0.1727533853098071</v>
      </c>
      <c r="AE150" s="76" t="n">
        <v>142</v>
      </c>
      <c r="AF150" s="77" t="n">
        <v>0.168646080760095</v>
      </c>
      <c r="AG150" s="76" t="n">
        <v>598</v>
      </c>
      <c r="AH150" s="77" t="n">
        <v>0.7102137767220903</v>
      </c>
      <c r="AI150" s="80" t="n">
        <v>843</v>
      </c>
      <c r="AJ150" s="77" t="n">
        <v>0.1729585556011489</v>
      </c>
      <c r="AK150" s="80" t="n">
        <v>7</v>
      </c>
      <c r="AL150" s="77" t="n">
        <v>0.8374851720047449</v>
      </c>
      <c r="AM150" s="80" t="n">
        <v>843</v>
      </c>
      <c r="AN150" s="80" t="n">
        <v>706</v>
      </c>
      <c r="AO150" s="77" t="n">
        <v>0.1448502256873205</v>
      </c>
      <c r="AP150" s="77" t="n">
        <v>0.838479809976247</v>
      </c>
      <c r="AQ150" s="78" t="n">
        <v>0.9497847919655668</v>
      </c>
      <c r="AR150" s="80" t="n">
        <v>0</v>
      </c>
      <c r="AS150" s="80" t="n">
        <v>0</v>
      </c>
      <c r="AT150" s="80" t="n">
        <v>100</v>
      </c>
      <c r="AU150" s="80" t="n">
        <v>80</v>
      </c>
      <c r="AV150" s="80" t="n">
        <v>98</v>
      </c>
      <c r="AW150" s="80" t="n">
        <v>158</v>
      </c>
      <c r="AX150" s="77" t="n">
        <v>0.0164136233073451</v>
      </c>
      <c r="AY150" s="77" t="n">
        <v>0.02010668855149774</v>
      </c>
      <c r="AZ150" s="77" t="n">
        <v>0.03241690603200657</v>
      </c>
      <c r="BA150" s="77" t="n">
        <v>0.1388101983002833</v>
      </c>
      <c r="BB150" s="80" t="n">
        <v>0</v>
      </c>
      <c r="BC150" s="80" t="n">
        <v>1</v>
      </c>
      <c r="BD150" s="78" t="n">
        <v>0.9823008849557522</v>
      </c>
      <c r="BE150" s="78" t="n">
        <v>0.9166666666666666</v>
      </c>
      <c r="BF150" s="78" t="inlineStr">
        <is>
          <t>-</t>
        </is>
      </c>
    </row>
    <row r="151" ht="19.55" customHeight="1">
      <c r="A151" s="81" t="n">
        <v>148</v>
      </c>
      <c r="B151" s="76" t="inlineStr">
        <is>
          <t>全国</t>
        </is>
      </c>
      <c r="C151" s="82" t="n">
        <v>46149</v>
      </c>
      <c r="D151" s="76" t="inlineStr">
        <is>
          <t>天籁·鸿蒙座舱</t>
        </is>
      </c>
      <c r="E151" s="76" t="n">
        <v>2977</v>
      </c>
      <c r="F151" s="76" t="n">
        <v>2877</v>
      </c>
      <c r="G151" s="77" t="n">
        <v>0.9664091367148135</v>
      </c>
      <c r="H151" s="76" t="n">
        <v>1496</v>
      </c>
      <c r="I151" s="78" t="n">
        <v>0.502519314746389</v>
      </c>
      <c r="J151" s="76" t="n">
        <v>4015</v>
      </c>
      <c r="K151" s="76" t="n">
        <v>3882</v>
      </c>
      <c r="L151" s="77" t="n">
        <v>0.967</v>
      </c>
      <c r="M151" s="76" t="n">
        <v>16429</v>
      </c>
      <c r="N151" s="76" t="n">
        <v>15977</v>
      </c>
      <c r="O151" s="76" t="n">
        <v>16161</v>
      </c>
      <c r="P151" s="77" t="n">
        <v>0.9836873820682939</v>
      </c>
      <c r="Q151" s="76" t="n">
        <v>129</v>
      </c>
      <c r="R151" s="76" t="n">
        <v>187982</v>
      </c>
      <c r="S151" s="76" t="n">
        <v>92775</v>
      </c>
      <c r="T151" s="77" t="n">
        <v>0.4935312955495739</v>
      </c>
      <c r="U151" s="76" t="n">
        <v>44459</v>
      </c>
      <c r="V151" s="77" t="n">
        <v>0.2365066868104393</v>
      </c>
      <c r="W151" s="76" t="n">
        <v>1549</v>
      </c>
      <c r="X151" s="77" t="n">
        <v>0.5203224722875378</v>
      </c>
      <c r="Y151" s="76" t="n">
        <v>1327</v>
      </c>
      <c r="Z151" s="79" t="n">
        <v>0.4457507557944239</v>
      </c>
      <c r="AA151" s="76" t="n">
        <v>701</v>
      </c>
      <c r="AB151" s="77" t="n">
        <v>0.2354719516291569</v>
      </c>
      <c r="AC151" s="76" t="n">
        <v>300</v>
      </c>
      <c r="AD151" s="77" t="n">
        <v>0.1007725898555593</v>
      </c>
      <c r="AE151" s="76" t="n">
        <v>46</v>
      </c>
      <c r="AF151" s="77" t="n">
        <v>0.1533333333333333</v>
      </c>
      <c r="AG151" s="76" t="n">
        <v>226</v>
      </c>
      <c r="AH151" s="77" t="n">
        <v>0.7533333333333333</v>
      </c>
      <c r="AI151" s="80" t="n">
        <v>299</v>
      </c>
      <c r="AJ151" s="77" t="n">
        <v>0.1004366812227074</v>
      </c>
      <c r="AK151" s="80" t="n">
        <v>8</v>
      </c>
      <c r="AL151" s="77" t="n">
        <v>0.9431438127090301</v>
      </c>
      <c r="AM151" s="80" t="n">
        <v>297</v>
      </c>
      <c r="AN151" s="80" t="n">
        <v>282</v>
      </c>
      <c r="AO151" s="77" t="n">
        <v>0.09472623446422573</v>
      </c>
      <c r="AP151" s="77" t="n">
        <v>0.9399999999999999</v>
      </c>
      <c r="AQ151" s="78" t="n">
        <v>0.9368029739776952</v>
      </c>
      <c r="AR151" s="80" t="n">
        <v>0</v>
      </c>
      <c r="AS151" s="80" t="n">
        <v>0</v>
      </c>
      <c r="AT151" s="80" t="n">
        <v>66</v>
      </c>
      <c r="AU151" s="80" t="n">
        <v>61</v>
      </c>
      <c r="AV151" s="80" t="n">
        <v>64</v>
      </c>
      <c r="AW151" s="80" t="n">
        <v>95</v>
      </c>
      <c r="AX151" s="77" t="n">
        <v>0.02049042660396372</v>
      </c>
      <c r="AY151" s="77" t="n">
        <v>0.02149815250251931</v>
      </c>
      <c r="AZ151" s="77" t="n">
        <v>0.03191132012092711</v>
      </c>
      <c r="BA151" s="77" t="n">
        <v>0.2269503546099291</v>
      </c>
      <c r="BB151" s="80" t="n">
        <v>0</v>
      </c>
      <c r="BC151" s="80" t="n">
        <v>0</v>
      </c>
      <c r="BD151" s="78" t="n">
        <v>0.9743589743589743</v>
      </c>
      <c r="BE151" s="78" t="n">
        <v>1</v>
      </c>
      <c r="BF151" s="78" t="inlineStr">
        <is>
          <t>-</t>
        </is>
      </c>
    </row>
    <row r="152">
      <c r="A152" s="83" t="n"/>
      <c r="B152" s="18" t="n"/>
      <c r="C152" s="24" t="n"/>
      <c r="D152" s="18" t="n"/>
      <c r="E152" s="18" t="n"/>
      <c r="F152" s="18" t="n"/>
      <c r="G152" s="84" t="n"/>
      <c r="H152" s="18" t="n"/>
      <c r="I152" s="85" t="n"/>
      <c r="J152" s="18" t="n"/>
      <c r="K152" s="18" t="n"/>
      <c r="L152" s="84" t="n"/>
      <c r="M152" s="18" t="n"/>
      <c r="N152" s="18" t="n"/>
      <c r="O152" s="18" t="n"/>
      <c r="P152" s="84" t="n"/>
      <c r="Q152" s="18" t="n"/>
      <c r="R152" s="18" t="n"/>
      <c r="S152" s="18" t="n"/>
      <c r="T152" s="84" t="n"/>
      <c r="U152" s="18" t="n"/>
      <c r="V152" s="84" t="n"/>
      <c r="W152" s="18" t="n"/>
      <c r="X152" s="84" t="n"/>
      <c r="Y152" s="18" t="n"/>
      <c r="Z152" s="86" t="n"/>
      <c r="AA152" s="18" t="n"/>
      <c r="AB152" s="84" t="n"/>
      <c r="AC152" s="18" t="n"/>
      <c r="AD152" s="84" t="n"/>
      <c r="AE152" s="18" t="n"/>
      <c r="AF152" s="84" t="n"/>
      <c r="AG152" s="18" t="n"/>
      <c r="AH152" s="84" t="n"/>
      <c r="AI152" s="22" t="n"/>
      <c r="AJ152" s="84" t="n"/>
      <c r="AK152" s="22" t="n"/>
      <c r="AL152" s="84" t="n"/>
      <c r="AM152" s="22" t="n"/>
      <c r="AN152" s="22" t="n"/>
      <c r="AO152" s="84" t="n"/>
      <c r="AP152" s="84" t="n"/>
      <c r="AQ152" s="85" t="n"/>
      <c r="AR152" s="22" t="n"/>
      <c r="AS152" s="22" t="n"/>
      <c r="AT152" s="22" t="n"/>
      <c r="AU152" s="22" t="n"/>
      <c r="AV152" s="22" t="n"/>
      <c r="AW152" s="22" t="n"/>
      <c r="AX152" s="84" t="n"/>
      <c r="AY152" s="84" t="n"/>
      <c r="AZ152" s="84" t="n"/>
      <c r="BA152" s="84" t="n"/>
      <c r="BB152" s="22" t="n"/>
      <c r="BC152" s="22" t="n"/>
      <c r="BD152" s="85" t="n"/>
      <c r="BE152" s="85" t="n"/>
      <c r="BF152" s="85" t="n"/>
    </row>
    <row r="153">
      <c r="A153" s="83" t="n"/>
      <c r="B153" s="18" t="n"/>
      <c r="C153" s="24" t="n"/>
      <c r="D153" s="18" t="n"/>
      <c r="E153" s="18" t="n"/>
      <c r="F153" s="18" t="n"/>
      <c r="G153" s="84" t="n"/>
      <c r="H153" s="18" t="n"/>
      <c r="I153" s="85" t="n"/>
      <c r="J153" s="18" t="n"/>
      <c r="K153" s="18" t="n"/>
      <c r="L153" s="84" t="n"/>
      <c r="M153" s="18" t="n"/>
      <c r="N153" s="18" t="n"/>
      <c r="O153" s="18" t="n"/>
      <c r="P153" s="84" t="n"/>
      <c r="Q153" s="18" t="n"/>
      <c r="R153" s="18" t="n"/>
      <c r="S153" s="18" t="n"/>
      <c r="T153" s="84" t="n"/>
      <c r="U153" s="18" t="n"/>
      <c r="V153" s="84" t="n"/>
      <c r="W153" s="18" t="n"/>
      <c r="X153" s="84" t="n"/>
      <c r="Y153" s="18" t="n"/>
      <c r="Z153" s="86" t="n"/>
      <c r="AA153" s="18" t="n"/>
      <c r="AB153" s="84" t="n"/>
      <c r="AC153" s="18" t="n"/>
      <c r="AD153" s="84" t="n"/>
      <c r="AE153" s="18" t="n"/>
      <c r="AF153" s="84" t="n"/>
      <c r="AG153" s="18" t="n"/>
      <c r="AH153" s="84" t="n"/>
      <c r="AI153" s="22" t="n"/>
      <c r="AJ153" s="84" t="n"/>
      <c r="AK153" s="22" t="n"/>
      <c r="AL153" s="84" t="n"/>
      <c r="AM153" s="22" t="n"/>
      <c r="AN153" s="22" t="n"/>
      <c r="AO153" s="84" t="n"/>
      <c r="AP153" s="84" t="n"/>
      <c r="AQ153" s="85" t="n"/>
      <c r="AR153" s="22" t="n"/>
      <c r="AS153" s="22" t="n"/>
      <c r="AT153" s="22" t="n"/>
      <c r="AU153" s="22" t="n"/>
      <c r="AV153" s="22" t="n"/>
      <c r="AW153" s="22" t="n"/>
      <c r="AX153" s="84" t="n"/>
      <c r="AY153" s="84" t="n"/>
      <c r="AZ153" s="84" t="n"/>
      <c r="BA153" s="84" t="n"/>
      <c r="BB153" s="22" t="n"/>
      <c r="BC153" s="22" t="n"/>
      <c r="BD153" s="85" t="n"/>
      <c r="BE153" s="85" t="n"/>
      <c r="BF153" s="85" t="n"/>
    </row>
    <row r="154">
      <c r="A154" s="83" t="n"/>
      <c r="B154" s="18" t="n"/>
      <c r="C154" s="24" t="n"/>
      <c r="D154" s="18" t="n"/>
      <c r="E154" s="18" t="n"/>
      <c r="F154" s="18" t="n"/>
      <c r="G154" s="84" t="n"/>
      <c r="H154" s="18" t="n"/>
      <c r="I154" s="85" t="n"/>
      <c r="J154" s="18" t="n"/>
      <c r="K154" s="18" t="n"/>
      <c r="L154" s="84" t="n"/>
      <c r="M154" s="18" t="n"/>
      <c r="N154" s="18" t="n"/>
      <c r="O154" s="18" t="n"/>
      <c r="P154" s="84" t="n"/>
      <c r="Q154" s="18" t="n"/>
      <c r="R154" s="18" t="n"/>
      <c r="S154" s="18" t="n"/>
      <c r="T154" s="84" t="n"/>
      <c r="U154" s="18" t="n"/>
      <c r="V154" s="84" t="n"/>
      <c r="W154" s="18" t="n"/>
      <c r="X154" s="84" t="n"/>
      <c r="Y154" s="18" t="n"/>
      <c r="Z154" s="86" t="n"/>
      <c r="AA154" s="18" t="n"/>
      <c r="AB154" s="84" t="n"/>
      <c r="AC154" s="18" t="n"/>
      <c r="AD154" s="84" t="n"/>
      <c r="AE154" s="18" t="n"/>
      <c r="AF154" s="84" t="n"/>
      <c r="AG154" s="18" t="n"/>
      <c r="AH154" s="84" t="n"/>
      <c r="AI154" s="22" t="n"/>
      <c r="AJ154" s="84" t="n"/>
      <c r="AK154" s="22" t="n"/>
      <c r="AL154" s="84" t="n"/>
      <c r="AM154" s="22" t="n"/>
      <c r="AN154" s="22" t="n"/>
      <c r="AO154" s="84" t="n"/>
      <c r="AP154" s="84" t="n"/>
      <c r="AQ154" s="85" t="n"/>
      <c r="AR154" s="22" t="n"/>
      <c r="AS154" s="22" t="n"/>
      <c r="AT154" s="22" t="n"/>
      <c r="AU154" s="22" t="n"/>
      <c r="AV154" s="22" t="n"/>
      <c r="AW154" s="22" t="n"/>
      <c r="AX154" s="84" t="n"/>
      <c r="AY154" s="84" t="n"/>
      <c r="AZ154" s="84" t="n"/>
      <c r="BA154" s="84" t="n"/>
      <c r="BB154" s="22" t="n"/>
      <c r="BC154" s="22" t="n"/>
      <c r="BD154" s="85" t="n"/>
      <c r="BE154" s="85" t="n"/>
      <c r="BF154" s="85" t="n"/>
    </row>
    <row r="155">
      <c r="A155" s="83" t="n"/>
      <c r="B155" s="18" t="n"/>
      <c r="C155" s="24" t="n"/>
      <c r="D155" s="18" t="n"/>
      <c r="E155" s="18" t="n"/>
      <c r="F155" s="18" t="n"/>
      <c r="G155" s="84" t="n"/>
      <c r="H155" s="18" t="n"/>
      <c r="I155" s="85" t="n"/>
      <c r="J155" s="18" t="n"/>
      <c r="K155" s="18" t="n"/>
      <c r="L155" s="84" t="n"/>
      <c r="M155" s="18" t="n"/>
      <c r="N155" s="18" t="n"/>
      <c r="O155" s="18" t="n"/>
      <c r="P155" s="84" t="n"/>
      <c r="Q155" s="18" t="n"/>
      <c r="R155" s="18" t="n"/>
      <c r="S155" s="18" t="n"/>
      <c r="T155" s="84" t="n"/>
      <c r="U155" s="18" t="n"/>
      <c r="V155" s="84" t="n"/>
      <c r="W155" s="18" t="n"/>
      <c r="X155" s="84" t="n"/>
      <c r="Y155" s="18" t="n"/>
      <c r="Z155" s="86" t="n"/>
      <c r="AA155" s="18" t="n"/>
      <c r="AB155" s="84" t="n"/>
      <c r="AC155" s="18" t="n"/>
      <c r="AD155" s="84" t="n"/>
      <c r="AE155" s="18" t="n"/>
      <c r="AF155" s="84" t="n"/>
      <c r="AG155" s="18" t="n"/>
      <c r="AH155" s="84" t="n"/>
      <c r="AI155" s="22" t="n"/>
      <c r="AJ155" s="84" t="n"/>
      <c r="AK155" s="22" t="n"/>
      <c r="AL155" s="84" t="n"/>
      <c r="AM155" s="22" t="n"/>
      <c r="AN155" s="22" t="n"/>
      <c r="AO155" s="84" t="n"/>
      <c r="AP155" s="84" t="n"/>
      <c r="AQ155" s="85" t="n"/>
      <c r="AR155" s="22" t="n"/>
      <c r="AS155" s="22" t="n"/>
      <c r="AT155" s="22" t="n"/>
      <c r="AU155" s="22" t="n"/>
      <c r="AV155" s="22" t="n"/>
      <c r="AW155" s="22" t="n"/>
      <c r="AX155" s="84" t="n"/>
      <c r="AY155" s="84" t="n"/>
      <c r="AZ155" s="84" t="n"/>
      <c r="BA155" s="84" t="n"/>
      <c r="BB155" s="22" t="n"/>
      <c r="BC155" s="22" t="n"/>
      <c r="BD155" s="85" t="n"/>
      <c r="BE155" s="85" t="n"/>
      <c r="BF155" s="85" t="n"/>
    </row>
    <row r="156">
      <c r="A156" s="83" t="n"/>
      <c r="B156" s="18" t="n"/>
      <c r="C156" s="24" t="n"/>
      <c r="D156" s="18" t="n"/>
      <c r="E156" s="18" t="n"/>
      <c r="F156" s="18" t="n"/>
      <c r="G156" s="84" t="n"/>
      <c r="H156" s="18" t="n"/>
      <c r="I156" s="85" t="n"/>
      <c r="J156" s="18" t="n"/>
      <c r="K156" s="18" t="n"/>
      <c r="L156" s="84" t="n"/>
      <c r="M156" s="18" t="n"/>
      <c r="N156" s="18" t="n"/>
      <c r="O156" s="18" t="n"/>
      <c r="P156" s="84" t="n"/>
      <c r="Q156" s="18" t="n"/>
      <c r="R156" s="18" t="n"/>
      <c r="S156" s="18" t="n"/>
      <c r="T156" s="84" t="n"/>
      <c r="U156" s="18" t="n"/>
      <c r="V156" s="84" t="n"/>
      <c r="W156" s="18" t="n"/>
      <c r="X156" s="84" t="n"/>
      <c r="Y156" s="18" t="n"/>
      <c r="Z156" s="86" t="n"/>
      <c r="AA156" s="18" t="n"/>
      <c r="AB156" s="84" t="n"/>
      <c r="AC156" s="18" t="n"/>
      <c r="AD156" s="84" t="n"/>
      <c r="AE156" s="18" t="n"/>
      <c r="AF156" s="84" t="n"/>
      <c r="AG156" s="18" t="n"/>
      <c r="AH156" s="84" t="n"/>
      <c r="AI156" s="22" t="n"/>
      <c r="AJ156" s="84" t="n"/>
      <c r="AK156" s="22" t="n"/>
      <c r="AL156" s="84" t="n"/>
      <c r="AM156" s="22" t="n"/>
      <c r="AN156" s="22" t="n"/>
      <c r="AO156" s="84" t="n"/>
      <c r="AP156" s="84" t="n"/>
      <c r="AQ156" s="85" t="n"/>
      <c r="AR156" s="22" t="n"/>
      <c r="AS156" s="22" t="n"/>
      <c r="AT156" s="22" t="n"/>
      <c r="AU156" s="22" t="n"/>
      <c r="AV156" s="22" t="n"/>
      <c r="AW156" s="22" t="n"/>
      <c r="AX156" s="84" t="n"/>
      <c r="AY156" s="84" t="n"/>
      <c r="AZ156" s="84" t="n"/>
      <c r="BA156" s="84" t="n"/>
      <c r="BB156" s="22" t="n"/>
      <c r="BC156" s="22" t="n"/>
      <c r="BD156" s="85" t="n"/>
      <c r="BE156" s="85" t="n"/>
      <c r="BF156" s="85" t="n"/>
    </row>
    <row r="157">
      <c r="A157" s="83" t="n"/>
      <c r="B157" s="18" t="n"/>
      <c r="C157" s="24" t="n"/>
      <c r="D157" s="18" t="n"/>
      <c r="E157" s="18" t="n"/>
      <c r="F157" s="18" t="n"/>
      <c r="G157" s="84" t="n"/>
      <c r="H157" s="18" t="n"/>
      <c r="I157" s="85" t="n"/>
      <c r="J157" s="18" t="n"/>
      <c r="K157" s="18" t="n"/>
      <c r="L157" s="84" t="n"/>
      <c r="M157" s="18" t="n"/>
      <c r="N157" s="18" t="n"/>
      <c r="O157" s="18" t="n"/>
      <c r="P157" s="84" t="n"/>
      <c r="Q157" s="18" t="n"/>
      <c r="R157" s="18" t="n"/>
      <c r="S157" s="18" t="n"/>
      <c r="T157" s="84" t="n"/>
      <c r="U157" s="18" t="n"/>
      <c r="V157" s="84" t="n"/>
      <c r="W157" s="18" t="n"/>
      <c r="X157" s="84" t="n"/>
      <c r="Y157" s="18" t="n"/>
      <c r="Z157" s="86" t="n"/>
      <c r="AA157" s="18" t="n"/>
      <c r="AB157" s="84" t="n"/>
      <c r="AC157" s="18" t="n"/>
      <c r="AD157" s="84" t="n"/>
      <c r="AE157" s="18" t="n"/>
      <c r="AF157" s="84" t="n"/>
      <c r="AG157" s="18" t="n"/>
      <c r="AH157" s="84" t="n"/>
      <c r="AI157" s="22" t="n"/>
      <c r="AJ157" s="84" t="n"/>
      <c r="AK157" s="22" t="n"/>
      <c r="AL157" s="84" t="n"/>
      <c r="AM157" s="22" t="n"/>
      <c r="AN157" s="22" t="n"/>
      <c r="AO157" s="84" t="n"/>
      <c r="AP157" s="84" t="n"/>
      <c r="AQ157" s="85" t="n"/>
      <c r="AR157" s="22" t="n"/>
      <c r="AS157" s="22" t="n"/>
      <c r="AT157" s="22" t="n"/>
      <c r="AU157" s="22" t="n"/>
      <c r="AV157" s="22" t="n"/>
      <c r="AW157" s="22" t="n"/>
      <c r="AX157" s="84" t="n"/>
      <c r="AY157" s="84" t="n"/>
      <c r="AZ157" s="84" t="n"/>
      <c r="BA157" s="84" t="n"/>
      <c r="BB157" s="22" t="n"/>
      <c r="BC157" s="22" t="n"/>
      <c r="BD157" s="85" t="n"/>
      <c r="BE157" s="85" t="n"/>
      <c r="BF157" s="85" t="n"/>
    </row>
    <row r="158">
      <c r="A158" s="83" t="n"/>
      <c r="B158" s="18" t="n"/>
      <c r="C158" s="24" t="n"/>
      <c r="D158" s="18" t="n"/>
      <c r="E158" s="18" t="n"/>
      <c r="F158" s="18" t="n"/>
      <c r="G158" s="84" t="n"/>
      <c r="H158" s="18" t="n"/>
      <c r="I158" s="85" t="n"/>
      <c r="J158" s="18" t="n"/>
      <c r="K158" s="18" t="n"/>
      <c r="L158" s="84" t="n"/>
      <c r="M158" s="18" t="n"/>
      <c r="N158" s="18" t="n"/>
      <c r="O158" s="18" t="n"/>
      <c r="P158" s="84" t="n"/>
      <c r="Q158" s="18" t="n"/>
      <c r="R158" s="18" t="n"/>
      <c r="S158" s="18" t="n"/>
      <c r="T158" s="84" t="n"/>
      <c r="U158" s="18" t="n"/>
      <c r="V158" s="84" t="n"/>
      <c r="W158" s="18" t="n"/>
      <c r="X158" s="84" t="n"/>
      <c r="Y158" s="18" t="n"/>
      <c r="Z158" s="86" t="n"/>
      <c r="AA158" s="18" t="n"/>
      <c r="AB158" s="84" t="n"/>
      <c r="AC158" s="18" t="n"/>
      <c r="AD158" s="84" t="n"/>
      <c r="AE158" s="18" t="n"/>
      <c r="AF158" s="84" t="n"/>
      <c r="AG158" s="18" t="n"/>
      <c r="AH158" s="84" t="n"/>
      <c r="AI158" s="22" t="n"/>
      <c r="AJ158" s="84" t="n"/>
      <c r="AK158" s="22" t="n"/>
      <c r="AL158" s="84" t="n"/>
      <c r="AM158" s="22" t="n"/>
      <c r="AN158" s="22" t="n"/>
      <c r="AO158" s="84" t="n"/>
      <c r="AP158" s="84" t="n"/>
      <c r="AQ158" s="85" t="n"/>
      <c r="AR158" s="22" t="n"/>
      <c r="AS158" s="22" t="n"/>
      <c r="AT158" s="22" t="n"/>
      <c r="AU158" s="22" t="n"/>
      <c r="AV158" s="22" t="n"/>
      <c r="AW158" s="22" t="n"/>
      <c r="AX158" s="84" t="n"/>
      <c r="AY158" s="84" t="n"/>
      <c r="AZ158" s="84" t="n"/>
      <c r="BA158" s="84" t="n"/>
      <c r="BB158" s="22" t="n"/>
      <c r="BC158" s="22" t="n"/>
      <c r="BD158" s="85" t="n"/>
      <c r="BE158" s="85" t="n"/>
      <c r="BF158" s="85" t="n"/>
    </row>
    <row r="159">
      <c r="A159" s="83" t="n"/>
      <c r="B159" s="18" t="n"/>
      <c r="C159" s="24" t="n"/>
      <c r="D159" s="18" t="n"/>
      <c r="E159" s="18" t="n"/>
      <c r="F159" s="18" t="n"/>
      <c r="G159" s="84" t="n"/>
      <c r="H159" s="18" t="n"/>
      <c r="I159" s="85" t="n"/>
      <c r="J159" s="18" t="n"/>
      <c r="K159" s="18" t="n"/>
      <c r="L159" s="84" t="n"/>
      <c r="M159" s="18" t="n"/>
      <c r="N159" s="18" t="n"/>
      <c r="O159" s="18" t="n"/>
      <c r="P159" s="84" t="n"/>
      <c r="Q159" s="18" t="n"/>
      <c r="R159" s="18" t="n"/>
      <c r="S159" s="18" t="n"/>
      <c r="T159" s="84" t="n"/>
      <c r="U159" s="18" t="n"/>
      <c r="V159" s="84" t="n"/>
      <c r="W159" s="18" t="n"/>
      <c r="X159" s="84" t="n"/>
      <c r="Y159" s="18" t="n"/>
      <c r="Z159" s="86" t="n"/>
      <c r="AA159" s="18" t="n"/>
      <c r="AB159" s="84" t="n"/>
      <c r="AC159" s="18" t="n"/>
      <c r="AD159" s="84" t="n"/>
      <c r="AE159" s="18" t="n"/>
      <c r="AF159" s="84" t="n"/>
      <c r="AG159" s="18" t="n"/>
      <c r="AH159" s="84" t="n"/>
      <c r="AI159" s="22" t="n"/>
      <c r="AJ159" s="84" t="n"/>
      <c r="AK159" s="22" t="n"/>
      <c r="AL159" s="84" t="n"/>
      <c r="AM159" s="22" t="n"/>
      <c r="AN159" s="22" t="n"/>
      <c r="AO159" s="84" t="n"/>
      <c r="AP159" s="84" t="n"/>
      <c r="AQ159" s="85" t="n"/>
      <c r="AR159" s="22" t="n"/>
      <c r="AS159" s="22" t="n"/>
      <c r="AT159" s="22" t="n"/>
      <c r="AU159" s="22" t="n"/>
      <c r="AV159" s="22" t="n"/>
      <c r="AW159" s="22" t="n"/>
      <c r="AX159" s="84" t="n"/>
      <c r="AY159" s="84" t="n"/>
      <c r="AZ159" s="84" t="n"/>
      <c r="BA159" s="84" t="n"/>
      <c r="BB159" s="22" t="n"/>
      <c r="BC159" s="22" t="n"/>
      <c r="BD159" s="85" t="n"/>
      <c r="BE159" s="85" t="n"/>
      <c r="BF159" s="85" t="n"/>
    </row>
    <row r="160">
      <c r="A160" s="83" t="n"/>
      <c r="B160" s="18" t="n"/>
      <c r="C160" s="24" t="n"/>
      <c r="D160" s="18" t="n"/>
      <c r="E160" s="18" t="n"/>
      <c r="F160" s="18" t="n"/>
      <c r="G160" s="84" t="n"/>
      <c r="H160" s="18" t="n"/>
      <c r="I160" s="85" t="n"/>
      <c r="J160" s="18" t="n"/>
      <c r="K160" s="18" t="n"/>
      <c r="L160" s="84" t="n"/>
      <c r="M160" s="18" t="n"/>
      <c r="N160" s="18" t="n"/>
      <c r="O160" s="18" t="n"/>
      <c r="P160" s="84" t="n"/>
      <c r="Q160" s="18" t="n"/>
      <c r="R160" s="18" t="n"/>
      <c r="S160" s="18" t="n"/>
      <c r="T160" s="84" t="n"/>
      <c r="U160" s="18" t="n"/>
      <c r="V160" s="84" t="n"/>
      <c r="W160" s="18" t="n"/>
      <c r="X160" s="84" t="n"/>
      <c r="Y160" s="18" t="n"/>
      <c r="Z160" s="86" t="n"/>
      <c r="AA160" s="18" t="n"/>
      <c r="AB160" s="84" t="n"/>
      <c r="AC160" s="18" t="n"/>
      <c r="AD160" s="84" t="n"/>
      <c r="AE160" s="18" t="n"/>
      <c r="AF160" s="84" t="n"/>
      <c r="AG160" s="18" t="n"/>
      <c r="AH160" s="84" t="n"/>
      <c r="AI160" s="22" t="n"/>
      <c r="AJ160" s="84" t="n"/>
      <c r="AK160" s="22" t="n"/>
      <c r="AL160" s="84" t="n"/>
      <c r="AM160" s="22" t="n"/>
      <c r="AN160" s="22" t="n"/>
      <c r="AO160" s="84" t="n"/>
      <c r="AP160" s="84" t="n"/>
      <c r="AQ160" s="85" t="n"/>
      <c r="AR160" s="22" t="n"/>
      <c r="AS160" s="22" t="n"/>
      <c r="AT160" s="22" t="n"/>
      <c r="AU160" s="22" t="n"/>
      <c r="AV160" s="22" t="n"/>
      <c r="AW160" s="22" t="n"/>
      <c r="AX160" s="84" t="n"/>
      <c r="AY160" s="84" t="n"/>
      <c r="AZ160" s="84" t="n"/>
      <c r="BA160" s="84" t="n"/>
      <c r="BB160" s="22" t="n"/>
      <c r="BC160" s="22" t="n"/>
      <c r="BD160" s="85" t="n"/>
      <c r="BE160" s="85" t="n"/>
      <c r="BF160" s="85" t="n"/>
    </row>
    <row r="161">
      <c r="A161" s="83" t="n"/>
      <c r="B161" s="18" t="n"/>
      <c r="C161" s="24" t="n"/>
      <c r="D161" s="18" t="n"/>
      <c r="E161" s="18" t="n"/>
      <c r="F161" s="18" t="n"/>
      <c r="G161" s="84" t="n"/>
      <c r="H161" s="18" t="n"/>
      <c r="I161" s="85" t="n"/>
      <c r="J161" s="18" t="n"/>
      <c r="K161" s="18" t="n"/>
      <c r="L161" s="84" t="n"/>
      <c r="M161" s="18" t="n"/>
      <c r="N161" s="18" t="n"/>
      <c r="O161" s="18" t="n"/>
      <c r="P161" s="84" t="n"/>
      <c r="Q161" s="18" t="n"/>
      <c r="R161" s="18" t="n"/>
      <c r="S161" s="18" t="n"/>
      <c r="T161" s="84" t="n"/>
      <c r="U161" s="18" t="n"/>
      <c r="V161" s="84" t="n"/>
      <c r="W161" s="18" t="n"/>
      <c r="X161" s="84" t="n"/>
      <c r="Y161" s="18" t="n"/>
      <c r="Z161" s="86" t="n"/>
      <c r="AA161" s="18" t="n"/>
      <c r="AB161" s="84" t="n"/>
      <c r="AC161" s="18" t="n"/>
      <c r="AD161" s="84" t="n"/>
      <c r="AE161" s="18" t="n"/>
      <c r="AF161" s="84" t="n"/>
      <c r="AG161" s="18" t="n"/>
      <c r="AH161" s="84" t="n"/>
      <c r="AI161" s="22" t="n"/>
      <c r="AJ161" s="84" t="n"/>
      <c r="AK161" s="22" t="n"/>
      <c r="AL161" s="84" t="n"/>
      <c r="AM161" s="22" t="n"/>
      <c r="AN161" s="22" t="n"/>
      <c r="AO161" s="84" t="n"/>
      <c r="AP161" s="84" t="n"/>
      <c r="AQ161" s="85" t="n"/>
      <c r="AR161" s="22" t="n"/>
      <c r="AS161" s="22" t="n"/>
      <c r="AT161" s="22" t="n"/>
      <c r="AU161" s="22" t="n"/>
      <c r="AV161" s="22" t="n"/>
      <c r="AW161" s="22" t="n"/>
      <c r="AX161" s="84" t="n"/>
      <c r="AY161" s="84" t="n"/>
      <c r="AZ161" s="84" t="n"/>
      <c r="BA161" s="84" t="n"/>
      <c r="BB161" s="22" t="n"/>
      <c r="BC161" s="22" t="n"/>
      <c r="BD161" s="85" t="n"/>
      <c r="BE161" s="85" t="n"/>
      <c r="BF161" s="85" t="n"/>
    </row>
    <row r="162">
      <c r="A162" s="83" t="n"/>
      <c r="B162" s="18" t="n"/>
      <c r="C162" s="24" t="n"/>
      <c r="D162" s="18" t="n"/>
      <c r="E162" s="18" t="n"/>
      <c r="F162" s="18" t="n"/>
      <c r="G162" s="84" t="n"/>
      <c r="H162" s="18" t="n"/>
      <c r="I162" s="85" t="n"/>
      <c r="J162" s="18" t="n"/>
      <c r="K162" s="18" t="n"/>
      <c r="L162" s="84" t="n"/>
      <c r="M162" s="18" t="n"/>
      <c r="N162" s="18" t="n"/>
      <c r="O162" s="18" t="n"/>
      <c r="P162" s="84" t="n"/>
      <c r="Q162" s="18" t="n"/>
      <c r="R162" s="18" t="n"/>
      <c r="S162" s="18" t="n"/>
      <c r="T162" s="84" t="n"/>
      <c r="U162" s="18" t="n"/>
      <c r="V162" s="84" t="n"/>
      <c r="W162" s="18" t="n"/>
      <c r="X162" s="84" t="n"/>
      <c r="Y162" s="18" t="n"/>
      <c r="Z162" s="86" t="n"/>
      <c r="AA162" s="18" t="n"/>
      <c r="AB162" s="84" t="n"/>
      <c r="AC162" s="18" t="n"/>
      <c r="AD162" s="84" t="n"/>
      <c r="AE162" s="18" t="n"/>
      <c r="AF162" s="84" t="n"/>
      <c r="AG162" s="18" t="n"/>
      <c r="AH162" s="84" t="n"/>
      <c r="AI162" s="22" t="n"/>
      <c r="AJ162" s="84" t="n"/>
      <c r="AK162" s="22" t="n"/>
      <c r="AL162" s="84" t="n"/>
      <c r="AM162" s="22" t="n"/>
      <c r="AN162" s="22" t="n"/>
      <c r="AO162" s="84" t="n"/>
      <c r="AP162" s="84" t="n"/>
      <c r="AQ162" s="85" t="n"/>
      <c r="AR162" s="22" t="n"/>
      <c r="AS162" s="22" t="n"/>
      <c r="AT162" s="22" t="n"/>
      <c r="AU162" s="22" t="n"/>
      <c r="AV162" s="22" t="n"/>
      <c r="AW162" s="22" t="n"/>
      <c r="AX162" s="84" t="n"/>
      <c r="AY162" s="84" t="n"/>
      <c r="AZ162" s="84" t="n"/>
      <c r="BA162" s="84" t="n"/>
      <c r="BB162" s="22" t="n"/>
      <c r="BC162" s="22" t="n"/>
      <c r="BD162" s="85" t="n"/>
      <c r="BE162" s="85" t="n"/>
      <c r="BF162" s="85" t="n"/>
    </row>
    <row r="163">
      <c r="A163" s="83" t="n"/>
      <c r="B163" s="18" t="n"/>
      <c r="C163" s="24" t="n"/>
      <c r="D163" s="18" t="n"/>
      <c r="E163" s="18" t="n"/>
      <c r="F163" s="18" t="n"/>
      <c r="G163" s="84" t="n"/>
      <c r="H163" s="18" t="n"/>
      <c r="I163" s="85" t="n"/>
      <c r="J163" s="18" t="n"/>
      <c r="K163" s="18" t="n"/>
      <c r="L163" s="84" t="n"/>
      <c r="M163" s="18" t="n"/>
      <c r="N163" s="18" t="n"/>
      <c r="O163" s="18" t="n"/>
      <c r="P163" s="84" t="n"/>
      <c r="Q163" s="18" t="n"/>
      <c r="R163" s="18" t="n"/>
      <c r="S163" s="18" t="n"/>
      <c r="T163" s="84" t="n"/>
      <c r="U163" s="18" t="n"/>
      <c r="V163" s="84" t="n"/>
      <c r="W163" s="18" t="n"/>
      <c r="X163" s="84" t="n"/>
      <c r="Y163" s="18" t="n"/>
      <c r="Z163" s="86" t="n"/>
      <c r="AA163" s="18" t="n"/>
      <c r="AB163" s="84" t="n"/>
      <c r="AC163" s="18" t="n"/>
      <c r="AD163" s="84" t="n"/>
      <c r="AE163" s="18" t="n"/>
      <c r="AF163" s="84" t="n"/>
      <c r="AG163" s="18" t="n"/>
      <c r="AH163" s="84" t="n"/>
      <c r="AI163" s="22" t="n"/>
      <c r="AJ163" s="84" t="n"/>
      <c r="AK163" s="22" t="n"/>
      <c r="AL163" s="84" t="n"/>
      <c r="AM163" s="22" t="n"/>
      <c r="AN163" s="22" t="n"/>
      <c r="AO163" s="84" t="n"/>
      <c r="AP163" s="84" t="n"/>
      <c r="AQ163" s="85" t="n"/>
      <c r="AR163" s="22" t="n"/>
      <c r="AS163" s="22" t="n"/>
      <c r="AT163" s="22" t="n"/>
      <c r="AU163" s="22" t="n"/>
      <c r="AV163" s="22" t="n"/>
      <c r="AW163" s="22" t="n"/>
      <c r="AX163" s="84" t="n"/>
      <c r="AY163" s="84" t="n"/>
      <c r="AZ163" s="84" t="n"/>
      <c r="BA163" s="84" t="n"/>
      <c r="BB163" s="22" t="n"/>
      <c r="BC163" s="22" t="n"/>
      <c r="BD163" s="85" t="n"/>
      <c r="BE163" s="85" t="n"/>
      <c r="BF163" s="85" t="n"/>
    </row>
    <row r="164">
      <c r="A164" s="83" t="n"/>
      <c r="B164" s="18" t="n"/>
      <c r="C164" s="24" t="n"/>
      <c r="D164" s="18" t="n"/>
      <c r="E164" s="18" t="n"/>
      <c r="F164" s="18" t="n"/>
      <c r="G164" s="84" t="n"/>
      <c r="H164" s="18" t="n"/>
      <c r="I164" s="85" t="n"/>
      <c r="J164" s="18" t="n"/>
      <c r="K164" s="18" t="n"/>
      <c r="L164" s="84" t="n"/>
      <c r="M164" s="18" t="n"/>
      <c r="N164" s="18" t="n"/>
      <c r="O164" s="18" t="n"/>
      <c r="P164" s="84" t="n"/>
      <c r="Q164" s="18" t="n"/>
      <c r="R164" s="18" t="n"/>
      <c r="S164" s="18" t="n"/>
      <c r="T164" s="84" t="n"/>
      <c r="U164" s="18" t="n"/>
      <c r="V164" s="84" t="n"/>
      <c r="W164" s="18" t="n"/>
      <c r="X164" s="84" t="n"/>
      <c r="Y164" s="18" t="n"/>
      <c r="Z164" s="86" t="n"/>
      <c r="AA164" s="18" t="n"/>
      <c r="AB164" s="84" t="n"/>
      <c r="AC164" s="18" t="n"/>
      <c r="AD164" s="84" t="n"/>
      <c r="AE164" s="18" t="n"/>
      <c r="AF164" s="84" t="n"/>
      <c r="AG164" s="18" t="n"/>
      <c r="AH164" s="84" t="n"/>
      <c r="AI164" s="22" t="n"/>
      <c r="AJ164" s="84" t="n"/>
      <c r="AK164" s="22" t="n"/>
      <c r="AL164" s="84" t="n"/>
      <c r="AM164" s="22" t="n"/>
      <c r="AN164" s="22" t="n"/>
      <c r="AO164" s="84" t="n"/>
      <c r="AP164" s="84" t="n"/>
      <c r="AQ164" s="85" t="n"/>
      <c r="AR164" s="22" t="n"/>
      <c r="AS164" s="22" t="n"/>
      <c r="AT164" s="22" t="n"/>
      <c r="AU164" s="22" t="n"/>
      <c r="AV164" s="22" t="n"/>
      <c r="AW164" s="22" t="n"/>
      <c r="AX164" s="84" t="n"/>
      <c r="AY164" s="84" t="n"/>
      <c r="AZ164" s="84" t="n"/>
      <c r="BA164" s="84" t="n"/>
      <c r="BB164" s="22" t="n"/>
      <c r="BC164" s="22" t="n"/>
      <c r="BD164" s="85" t="n"/>
      <c r="BE164" s="85" t="n"/>
      <c r="BF164" s="85" t="n"/>
    </row>
    <row r="165">
      <c r="A165" s="83" t="n"/>
      <c r="B165" s="18" t="n"/>
      <c r="C165" s="24" t="n"/>
      <c r="D165" s="18" t="n"/>
      <c r="E165" s="18" t="n"/>
      <c r="F165" s="18" t="n"/>
      <c r="G165" s="84" t="n"/>
      <c r="H165" s="18" t="n"/>
      <c r="I165" s="85" t="n"/>
      <c r="J165" s="18" t="n"/>
      <c r="K165" s="18" t="n"/>
      <c r="L165" s="84" t="n"/>
      <c r="M165" s="18" t="n"/>
      <c r="N165" s="18" t="n"/>
      <c r="O165" s="18" t="n"/>
      <c r="P165" s="84" t="n"/>
      <c r="Q165" s="18" t="n"/>
      <c r="R165" s="18" t="n"/>
      <c r="S165" s="18" t="n"/>
      <c r="T165" s="84" t="n"/>
      <c r="U165" s="18" t="n"/>
      <c r="V165" s="84" t="n"/>
      <c r="W165" s="18" t="n"/>
      <c r="X165" s="84" t="n"/>
      <c r="Y165" s="18" t="n"/>
      <c r="Z165" s="86" t="n"/>
      <c r="AA165" s="18" t="n"/>
      <c r="AB165" s="84" t="n"/>
      <c r="AC165" s="18" t="n"/>
      <c r="AD165" s="84" t="n"/>
      <c r="AE165" s="18" t="n"/>
      <c r="AF165" s="84" t="n"/>
      <c r="AG165" s="18" t="n"/>
      <c r="AH165" s="84" t="n"/>
      <c r="AI165" s="22" t="n"/>
      <c r="AJ165" s="84" t="n"/>
      <c r="AK165" s="22" t="n"/>
      <c r="AL165" s="84" t="n"/>
      <c r="AM165" s="22" t="n"/>
      <c r="AN165" s="22" t="n"/>
      <c r="AO165" s="84" t="n"/>
      <c r="AP165" s="84" t="n"/>
      <c r="AQ165" s="85" t="n"/>
      <c r="AR165" s="22" t="n"/>
      <c r="AS165" s="22" t="n"/>
      <c r="AT165" s="22" t="n"/>
      <c r="AU165" s="22" t="n"/>
      <c r="AV165" s="22" t="n"/>
      <c r="AW165" s="22" t="n"/>
      <c r="AX165" s="84" t="n"/>
      <c r="AY165" s="84" t="n"/>
      <c r="AZ165" s="84" t="n"/>
      <c r="BA165" s="84" t="n"/>
      <c r="BB165" s="22" t="n"/>
      <c r="BC165" s="22" t="n"/>
      <c r="BD165" s="85" t="n"/>
      <c r="BE165" s="85" t="n"/>
      <c r="BF165" s="85" t="n"/>
    </row>
    <row r="166">
      <c r="A166" s="83" t="n"/>
      <c r="B166" s="18" t="n"/>
      <c r="C166" s="24" t="n"/>
      <c r="D166" s="18" t="n"/>
      <c r="E166" s="18" t="n"/>
      <c r="F166" s="18" t="n"/>
      <c r="G166" s="84" t="n"/>
      <c r="H166" s="18" t="n"/>
      <c r="I166" s="85" t="n"/>
      <c r="J166" s="18" t="n"/>
      <c r="K166" s="18" t="n"/>
      <c r="L166" s="84" t="n"/>
      <c r="M166" s="18" t="n"/>
      <c r="N166" s="18" t="n"/>
      <c r="O166" s="18" t="n"/>
      <c r="P166" s="84" t="n"/>
      <c r="Q166" s="18" t="n"/>
      <c r="R166" s="18" t="n"/>
      <c r="S166" s="18" t="n"/>
      <c r="T166" s="84" t="n"/>
      <c r="U166" s="18" t="n"/>
      <c r="V166" s="84" t="n"/>
      <c r="W166" s="18" t="n"/>
      <c r="X166" s="84" t="n"/>
      <c r="Y166" s="18" t="n"/>
      <c r="Z166" s="86" t="n"/>
      <c r="AA166" s="18" t="n"/>
      <c r="AB166" s="84" t="n"/>
      <c r="AC166" s="18" t="n"/>
      <c r="AD166" s="84" t="n"/>
      <c r="AE166" s="18" t="n"/>
      <c r="AF166" s="84" t="n"/>
      <c r="AG166" s="18" t="n"/>
      <c r="AH166" s="84" t="n"/>
      <c r="AI166" s="22" t="n"/>
      <c r="AJ166" s="84" t="n"/>
      <c r="AK166" s="22" t="n"/>
      <c r="AL166" s="84" t="n"/>
      <c r="AM166" s="22" t="n"/>
      <c r="AN166" s="22" t="n"/>
      <c r="AO166" s="84" t="n"/>
      <c r="AP166" s="84" t="n"/>
      <c r="AQ166" s="85" t="n"/>
      <c r="AR166" s="22" t="n"/>
      <c r="AS166" s="22" t="n"/>
      <c r="AT166" s="22" t="n"/>
      <c r="AU166" s="22" t="n"/>
      <c r="AV166" s="22" t="n"/>
      <c r="AW166" s="22" t="n"/>
      <c r="AX166" s="84" t="n"/>
      <c r="AY166" s="84" t="n"/>
      <c r="AZ166" s="84" t="n"/>
      <c r="BA166" s="84" t="n"/>
      <c r="BB166" s="22" t="n"/>
      <c r="BC166" s="22" t="n"/>
      <c r="BD166" s="85" t="n"/>
      <c r="BE166" s="85" t="n"/>
      <c r="BF166" s="85" t="n"/>
    </row>
    <row r="167">
      <c r="A167" s="83" t="n"/>
      <c r="B167" s="18" t="n"/>
      <c r="C167" s="24" t="n"/>
      <c r="D167" s="18" t="n"/>
      <c r="E167" s="18" t="n"/>
      <c r="F167" s="18" t="n"/>
      <c r="G167" s="84" t="n"/>
      <c r="H167" s="18" t="n"/>
      <c r="I167" s="85" t="n"/>
      <c r="J167" s="18" t="n"/>
      <c r="K167" s="18" t="n"/>
      <c r="L167" s="84" t="n"/>
      <c r="M167" s="18" t="n"/>
      <c r="N167" s="18" t="n"/>
      <c r="O167" s="18" t="n"/>
      <c r="P167" s="84" t="n"/>
      <c r="Q167" s="18" t="n"/>
      <c r="R167" s="18" t="n"/>
      <c r="S167" s="18" t="n"/>
      <c r="T167" s="84" t="n"/>
      <c r="U167" s="18" t="n"/>
      <c r="V167" s="84" t="n"/>
      <c r="W167" s="18" t="n"/>
      <c r="X167" s="84" t="n"/>
      <c r="Y167" s="18" t="n"/>
      <c r="Z167" s="86" t="n"/>
      <c r="AA167" s="18" t="n"/>
      <c r="AB167" s="84" t="n"/>
      <c r="AC167" s="18" t="n"/>
      <c r="AD167" s="84" t="n"/>
      <c r="AE167" s="18" t="n"/>
      <c r="AF167" s="84" t="n"/>
      <c r="AG167" s="18" t="n"/>
      <c r="AH167" s="84" t="n"/>
      <c r="AI167" s="22" t="n"/>
      <c r="AJ167" s="84" t="n"/>
      <c r="AK167" s="22" t="n"/>
      <c r="AL167" s="84" t="n"/>
      <c r="AM167" s="22" t="n"/>
      <c r="AN167" s="22" t="n"/>
      <c r="AO167" s="84" t="n"/>
      <c r="AP167" s="84" t="n"/>
      <c r="AQ167" s="85" t="n"/>
      <c r="AR167" s="22" t="n"/>
      <c r="AS167" s="22" t="n"/>
      <c r="AT167" s="22" t="n"/>
      <c r="AU167" s="22" t="n"/>
      <c r="AV167" s="22" t="n"/>
      <c r="AW167" s="22" t="n"/>
      <c r="AX167" s="84" t="n"/>
      <c r="AY167" s="84" t="n"/>
      <c r="AZ167" s="84" t="n"/>
      <c r="BA167" s="84" t="n"/>
      <c r="BB167" s="22" t="n"/>
      <c r="BC167" s="22" t="n"/>
      <c r="BD167" s="85" t="n"/>
      <c r="BE167" s="85" t="n"/>
      <c r="BF167" s="85" t="n"/>
    </row>
    <row r="168">
      <c r="A168" s="83" t="n"/>
      <c r="B168" s="18" t="n"/>
      <c r="C168" s="24" t="n"/>
      <c r="D168" s="18" t="n"/>
      <c r="E168" s="18" t="n"/>
      <c r="F168" s="18" t="n"/>
      <c r="G168" s="84" t="n"/>
      <c r="H168" s="18" t="n"/>
      <c r="I168" s="85" t="n"/>
      <c r="J168" s="18" t="n"/>
      <c r="K168" s="18" t="n"/>
      <c r="L168" s="84" t="n"/>
      <c r="M168" s="18" t="n"/>
      <c r="N168" s="18" t="n"/>
      <c r="O168" s="18" t="n"/>
      <c r="P168" s="84" t="n"/>
      <c r="Q168" s="18" t="n"/>
      <c r="R168" s="18" t="n"/>
      <c r="S168" s="18" t="n"/>
      <c r="T168" s="84" t="n"/>
      <c r="U168" s="18" t="n"/>
      <c r="V168" s="84" t="n"/>
      <c r="W168" s="18" t="n"/>
      <c r="X168" s="84" t="n"/>
      <c r="Y168" s="18" t="n"/>
      <c r="Z168" s="86" t="n"/>
      <c r="AA168" s="18" t="n"/>
      <c r="AB168" s="84" t="n"/>
      <c r="AC168" s="18" t="n"/>
      <c r="AD168" s="84" t="n"/>
      <c r="AE168" s="18" t="n"/>
      <c r="AF168" s="84" t="n"/>
      <c r="AG168" s="18" t="n"/>
      <c r="AH168" s="84" t="n"/>
      <c r="AI168" s="22" t="n"/>
      <c r="AJ168" s="84" t="n"/>
      <c r="AK168" s="22" t="n"/>
      <c r="AL168" s="84" t="n"/>
      <c r="AM168" s="22" t="n"/>
      <c r="AN168" s="22" t="n"/>
      <c r="AO168" s="84" t="n"/>
      <c r="AP168" s="84" t="n"/>
      <c r="AQ168" s="85" t="n"/>
      <c r="AR168" s="22" t="n"/>
      <c r="AS168" s="22" t="n"/>
      <c r="AT168" s="22" t="n"/>
      <c r="AU168" s="22" t="n"/>
      <c r="AV168" s="22" t="n"/>
      <c r="AW168" s="22" t="n"/>
      <c r="AX168" s="84" t="n"/>
      <c r="AY168" s="84" t="n"/>
      <c r="AZ168" s="84" t="n"/>
      <c r="BA168" s="84" t="n"/>
      <c r="BB168" s="22" t="n"/>
      <c r="BC168" s="22" t="n"/>
      <c r="BD168" s="85" t="n"/>
      <c r="BE168" s="85" t="n"/>
      <c r="BF168" s="85" t="n"/>
    </row>
    <row r="169">
      <c r="A169" s="83" t="n"/>
      <c r="B169" s="18" t="n"/>
      <c r="C169" s="24" t="n"/>
      <c r="D169" s="18" t="n"/>
      <c r="E169" s="18" t="n"/>
      <c r="F169" s="18" t="n"/>
      <c r="G169" s="84" t="n"/>
      <c r="H169" s="18" t="n"/>
      <c r="I169" s="85" t="n"/>
      <c r="J169" s="18" t="n"/>
      <c r="K169" s="18" t="n"/>
      <c r="L169" s="84" t="n"/>
      <c r="M169" s="18" t="n"/>
      <c r="N169" s="18" t="n"/>
      <c r="O169" s="18" t="n"/>
      <c r="P169" s="84" t="n"/>
      <c r="Q169" s="18" t="n"/>
      <c r="R169" s="18" t="n"/>
      <c r="S169" s="18" t="n"/>
      <c r="T169" s="84" t="n"/>
      <c r="U169" s="18" t="n"/>
      <c r="V169" s="84" t="n"/>
      <c r="W169" s="18" t="n"/>
      <c r="X169" s="84" t="n"/>
      <c r="Y169" s="18" t="n"/>
      <c r="Z169" s="86" t="n"/>
      <c r="AA169" s="18" t="n"/>
      <c r="AB169" s="84" t="n"/>
      <c r="AC169" s="18" t="n"/>
      <c r="AD169" s="84" t="n"/>
      <c r="AE169" s="18" t="n"/>
      <c r="AF169" s="84" t="n"/>
      <c r="AG169" s="18" t="n"/>
      <c r="AH169" s="84" t="n"/>
      <c r="AI169" s="22" t="n"/>
      <c r="AJ169" s="84" t="n"/>
      <c r="AK169" s="22" t="n"/>
      <c r="AL169" s="84" t="n"/>
      <c r="AM169" s="22" t="n"/>
      <c r="AN169" s="22" t="n"/>
      <c r="AO169" s="84" t="n"/>
      <c r="AP169" s="84" t="n"/>
      <c r="AQ169" s="85" t="n"/>
      <c r="AR169" s="22" t="n"/>
      <c r="AS169" s="22" t="n"/>
      <c r="AT169" s="22" t="n"/>
      <c r="AU169" s="22" t="n"/>
      <c r="AV169" s="22" t="n"/>
      <c r="AW169" s="22" t="n"/>
      <c r="AX169" s="84" t="n"/>
      <c r="AY169" s="84" t="n"/>
      <c r="AZ169" s="84" t="n"/>
      <c r="BA169" s="84" t="n"/>
      <c r="BB169" s="22" t="n"/>
      <c r="BC169" s="22" t="n"/>
      <c r="BD169" s="85" t="n"/>
      <c r="BE169" s="85" t="n"/>
      <c r="BF169" s="85" t="n"/>
    </row>
    <row r="170">
      <c r="A170" s="83" t="n"/>
      <c r="B170" s="18" t="n"/>
      <c r="C170" s="24" t="n"/>
      <c r="D170" s="18" t="n"/>
      <c r="E170" s="18" t="n"/>
      <c r="F170" s="18" t="n"/>
      <c r="G170" s="84" t="n"/>
      <c r="H170" s="18" t="n"/>
      <c r="I170" s="85" t="n"/>
      <c r="J170" s="18" t="n"/>
      <c r="K170" s="18" t="n"/>
      <c r="L170" s="84" t="n"/>
      <c r="M170" s="18" t="n"/>
      <c r="N170" s="18" t="n"/>
      <c r="O170" s="18" t="n"/>
      <c r="P170" s="84" t="n"/>
      <c r="Q170" s="18" t="n"/>
      <c r="R170" s="18" t="n"/>
      <c r="S170" s="18" t="n"/>
      <c r="T170" s="84" t="n"/>
      <c r="U170" s="18" t="n"/>
      <c r="V170" s="84" t="n"/>
      <c r="W170" s="18" t="n"/>
      <c r="X170" s="84" t="n"/>
      <c r="Y170" s="18" t="n"/>
      <c r="Z170" s="86" t="n"/>
      <c r="AA170" s="18" t="n"/>
      <c r="AB170" s="84" t="n"/>
      <c r="AC170" s="18" t="n"/>
      <c r="AD170" s="84" t="n"/>
      <c r="AE170" s="18" t="n"/>
      <c r="AF170" s="84" t="n"/>
      <c r="AG170" s="18" t="n"/>
      <c r="AH170" s="84" t="n"/>
      <c r="AI170" s="22" t="n"/>
      <c r="AJ170" s="84" t="n"/>
      <c r="AK170" s="22" t="n"/>
      <c r="AL170" s="84" t="n"/>
      <c r="AM170" s="22" t="n"/>
      <c r="AN170" s="22" t="n"/>
      <c r="AO170" s="84" t="n"/>
      <c r="AP170" s="84" t="n"/>
      <c r="AQ170" s="85" t="n"/>
      <c r="AR170" s="22" t="n"/>
      <c r="AS170" s="22" t="n"/>
      <c r="AT170" s="22" t="n"/>
      <c r="AU170" s="22" t="n"/>
      <c r="AV170" s="22" t="n"/>
      <c r="AW170" s="22" t="n"/>
      <c r="AX170" s="84" t="n"/>
      <c r="AY170" s="84" t="n"/>
      <c r="AZ170" s="84" t="n"/>
      <c r="BA170" s="84" t="n"/>
      <c r="BB170" s="22" t="n"/>
      <c r="BC170" s="22" t="n"/>
      <c r="BD170" s="85" t="n"/>
      <c r="BE170" s="85" t="n"/>
      <c r="BF170" s="85" t="n"/>
    </row>
    <row r="171">
      <c r="A171" s="83" t="n"/>
      <c r="B171" s="18" t="n"/>
      <c r="C171" s="24" t="n"/>
      <c r="D171" s="18" t="n"/>
      <c r="E171" s="18" t="n"/>
      <c r="F171" s="18" t="n"/>
      <c r="G171" s="84" t="n"/>
      <c r="H171" s="18" t="n"/>
      <c r="I171" s="85" t="n"/>
      <c r="J171" s="18" t="n"/>
      <c r="K171" s="18" t="n"/>
      <c r="L171" s="84" t="n"/>
      <c r="M171" s="18" t="n"/>
      <c r="N171" s="18" t="n"/>
      <c r="O171" s="18" t="n"/>
      <c r="P171" s="84" t="n"/>
      <c r="Q171" s="18" t="n"/>
      <c r="R171" s="18" t="n"/>
      <c r="S171" s="18" t="n"/>
      <c r="T171" s="84" t="n"/>
      <c r="U171" s="18" t="n"/>
      <c r="V171" s="84" t="n"/>
      <c r="W171" s="18" t="n"/>
      <c r="X171" s="84" t="n"/>
      <c r="Y171" s="18" t="n"/>
      <c r="Z171" s="86" t="n"/>
      <c r="AA171" s="18" t="n"/>
      <c r="AB171" s="84" t="n"/>
      <c r="AC171" s="18" t="n"/>
      <c r="AD171" s="84" t="n"/>
      <c r="AE171" s="18" t="n"/>
      <c r="AF171" s="84" t="n"/>
      <c r="AG171" s="18" t="n"/>
      <c r="AH171" s="84" t="n"/>
      <c r="AI171" s="22" t="n"/>
      <c r="AJ171" s="84" t="n"/>
      <c r="AK171" s="22" t="n"/>
      <c r="AL171" s="84" t="n"/>
      <c r="AM171" s="22" t="n"/>
      <c r="AN171" s="22" t="n"/>
      <c r="AO171" s="84" t="n"/>
      <c r="AP171" s="84" t="n"/>
      <c r="AQ171" s="85" t="n"/>
      <c r="AR171" s="22" t="n"/>
      <c r="AS171" s="22" t="n"/>
      <c r="AT171" s="22" t="n"/>
      <c r="AU171" s="22" t="n"/>
      <c r="AV171" s="22" t="n"/>
      <c r="AW171" s="22" t="n"/>
      <c r="AX171" s="84" t="n"/>
      <c r="AY171" s="84" t="n"/>
      <c r="AZ171" s="84" t="n"/>
      <c r="BA171" s="84" t="n"/>
      <c r="BB171" s="22" t="n"/>
      <c r="BC171" s="22" t="n"/>
      <c r="BD171" s="85" t="n"/>
      <c r="BE171" s="85" t="n"/>
      <c r="BF171" s="85" t="n"/>
    </row>
    <row r="172">
      <c r="A172" s="83" t="n"/>
      <c r="B172" s="18" t="n"/>
      <c r="C172" s="24" t="n"/>
      <c r="D172" s="18" t="n"/>
      <c r="E172" s="18" t="n"/>
      <c r="F172" s="18" t="n"/>
      <c r="G172" s="84" t="n"/>
      <c r="H172" s="18" t="n"/>
      <c r="I172" s="85" t="n"/>
      <c r="J172" s="18" t="n"/>
      <c r="K172" s="18" t="n"/>
      <c r="L172" s="84" t="n"/>
      <c r="M172" s="18" t="n"/>
      <c r="N172" s="18" t="n"/>
      <c r="O172" s="18" t="n"/>
      <c r="P172" s="84" t="n"/>
      <c r="Q172" s="18" t="n"/>
      <c r="R172" s="18" t="n"/>
      <c r="S172" s="18" t="n"/>
      <c r="T172" s="84" t="n"/>
      <c r="U172" s="18" t="n"/>
      <c r="V172" s="84" t="n"/>
      <c r="W172" s="18" t="n"/>
      <c r="X172" s="84" t="n"/>
      <c r="Y172" s="18" t="n"/>
      <c r="Z172" s="86" t="n"/>
      <c r="AA172" s="18" t="n"/>
      <c r="AB172" s="84" t="n"/>
      <c r="AC172" s="18" t="n"/>
      <c r="AD172" s="84" t="n"/>
      <c r="AE172" s="18" t="n"/>
      <c r="AF172" s="84" t="n"/>
      <c r="AG172" s="18" t="n"/>
      <c r="AH172" s="84" t="n"/>
      <c r="AI172" s="22" t="n"/>
      <c r="AJ172" s="84" t="n"/>
      <c r="AK172" s="22" t="n"/>
      <c r="AL172" s="84" t="n"/>
      <c r="AM172" s="22" t="n"/>
      <c r="AN172" s="22" t="n"/>
      <c r="AO172" s="84" t="n"/>
      <c r="AP172" s="84" t="n"/>
      <c r="AQ172" s="85" t="n"/>
      <c r="AR172" s="22" t="n"/>
      <c r="AS172" s="22" t="n"/>
      <c r="AT172" s="22" t="n"/>
      <c r="AU172" s="22" t="n"/>
      <c r="AV172" s="22" t="n"/>
      <c r="AW172" s="22" t="n"/>
      <c r="AX172" s="84" t="n"/>
      <c r="AY172" s="84" t="n"/>
      <c r="AZ172" s="84" t="n"/>
      <c r="BA172" s="84" t="n"/>
      <c r="BB172" s="22" t="n"/>
      <c r="BC172" s="22" t="n"/>
      <c r="BD172" s="85" t="n"/>
      <c r="BE172" s="85" t="n"/>
      <c r="BF172" s="85" t="n"/>
    </row>
    <row r="173">
      <c r="A173" s="83" t="n"/>
      <c r="B173" s="18" t="n"/>
      <c r="C173" s="24" t="n"/>
      <c r="D173" s="18" t="n"/>
      <c r="E173" s="18" t="n"/>
      <c r="F173" s="18" t="n"/>
      <c r="G173" s="84" t="n"/>
      <c r="H173" s="18" t="n"/>
      <c r="I173" s="85" t="n"/>
      <c r="J173" s="18" t="n"/>
      <c r="K173" s="18" t="n"/>
      <c r="L173" s="84" t="n"/>
      <c r="M173" s="18" t="n"/>
      <c r="N173" s="18" t="n"/>
      <c r="O173" s="18" t="n"/>
      <c r="P173" s="84" t="n"/>
      <c r="Q173" s="18" t="n"/>
      <c r="R173" s="18" t="n"/>
      <c r="S173" s="18" t="n"/>
      <c r="T173" s="84" t="n"/>
      <c r="U173" s="18" t="n"/>
      <c r="V173" s="84" t="n"/>
      <c r="W173" s="18" t="n"/>
      <c r="X173" s="84" t="n"/>
      <c r="Y173" s="18" t="n"/>
      <c r="Z173" s="86" t="n"/>
      <c r="AA173" s="18" t="n"/>
      <c r="AB173" s="84" t="n"/>
      <c r="AC173" s="18" t="n"/>
      <c r="AD173" s="84" t="n"/>
      <c r="AE173" s="18" t="n"/>
      <c r="AF173" s="84" t="n"/>
      <c r="AG173" s="18" t="n"/>
      <c r="AH173" s="84" t="n"/>
      <c r="AI173" s="22" t="n"/>
      <c r="AJ173" s="84" t="n"/>
      <c r="AK173" s="22" t="n"/>
      <c r="AL173" s="84" t="n"/>
      <c r="AM173" s="22" t="n"/>
      <c r="AN173" s="22" t="n"/>
      <c r="AO173" s="84" t="n"/>
      <c r="AP173" s="84" t="n"/>
      <c r="AQ173" s="85" t="n"/>
      <c r="AR173" s="22" t="n"/>
      <c r="AS173" s="22" t="n"/>
      <c r="AT173" s="22" t="n"/>
      <c r="AU173" s="22" t="n"/>
      <c r="AV173" s="22" t="n"/>
      <c r="AW173" s="22" t="n"/>
      <c r="AX173" s="84" t="n"/>
      <c r="AY173" s="84" t="n"/>
      <c r="AZ173" s="84" t="n"/>
      <c r="BA173" s="84" t="n"/>
      <c r="BB173" s="22" t="n"/>
      <c r="BC173" s="22" t="n"/>
      <c r="BD173" s="85" t="n"/>
      <c r="BE173" s="85" t="n"/>
      <c r="BF173" s="85" t="n"/>
    </row>
    <row r="174">
      <c r="A174" s="83" t="n"/>
      <c r="B174" s="18" t="n"/>
      <c r="C174" s="24" t="n"/>
      <c r="D174" s="18" t="n"/>
      <c r="E174" s="18" t="n"/>
      <c r="F174" s="18" t="n"/>
      <c r="G174" s="84" t="n"/>
      <c r="H174" s="18" t="n"/>
      <c r="I174" s="85" t="n"/>
      <c r="J174" s="18" t="n"/>
      <c r="K174" s="18" t="n"/>
      <c r="L174" s="84" t="n"/>
      <c r="M174" s="18" t="n"/>
      <c r="N174" s="18" t="n"/>
      <c r="O174" s="18" t="n"/>
      <c r="P174" s="84" t="n"/>
      <c r="Q174" s="18" t="n"/>
      <c r="R174" s="18" t="n"/>
      <c r="S174" s="18" t="n"/>
      <c r="T174" s="84" t="n"/>
      <c r="U174" s="18" t="n"/>
      <c r="V174" s="84" t="n"/>
      <c r="W174" s="18" t="n"/>
      <c r="X174" s="84" t="n"/>
      <c r="Y174" s="18" t="n"/>
      <c r="Z174" s="86" t="n"/>
      <c r="AA174" s="18" t="n"/>
      <c r="AB174" s="84" t="n"/>
      <c r="AC174" s="18" t="n"/>
      <c r="AD174" s="84" t="n"/>
      <c r="AE174" s="18" t="n"/>
      <c r="AF174" s="84" t="n"/>
      <c r="AG174" s="18" t="n"/>
      <c r="AH174" s="84" t="n"/>
      <c r="AI174" s="22" t="n"/>
      <c r="AJ174" s="84" t="n"/>
      <c r="AK174" s="22" t="n"/>
      <c r="AL174" s="84" t="n"/>
      <c r="AM174" s="22" t="n"/>
      <c r="AN174" s="22" t="n"/>
      <c r="AO174" s="84" t="n"/>
      <c r="AP174" s="84" t="n"/>
      <c r="AQ174" s="85" t="n"/>
      <c r="AR174" s="22" t="n"/>
      <c r="AS174" s="22" t="n"/>
      <c r="AT174" s="22" t="n"/>
      <c r="AU174" s="22" t="n"/>
      <c r="AV174" s="22" t="n"/>
      <c r="AW174" s="22" t="n"/>
      <c r="AX174" s="84" t="n"/>
      <c r="AY174" s="84" t="n"/>
      <c r="AZ174" s="84" t="n"/>
      <c r="BA174" s="84" t="n"/>
      <c r="BB174" s="22" t="n"/>
      <c r="BC174" s="22" t="n"/>
      <c r="BD174" s="85" t="n"/>
      <c r="BE174" s="85" t="n"/>
      <c r="BF174" s="85" t="n"/>
    </row>
    <row r="175">
      <c r="A175" s="83" t="n"/>
      <c r="B175" s="18" t="n"/>
      <c r="C175" s="24" t="n"/>
      <c r="D175" s="18" t="n"/>
      <c r="E175" s="18" t="n"/>
      <c r="F175" s="18" t="n"/>
      <c r="G175" s="84" t="n"/>
      <c r="H175" s="18" t="n"/>
      <c r="I175" s="85" t="n"/>
      <c r="J175" s="18" t="n"/>
      <c r="K175" s="18" t="n"/>
      <c r="L175" s="84" t="n"/>
      <c r="M175" s="18" t="n"/>
      <c r="N175" s="18" t="n"/>
      <c r="O175" s="18" t="n"/>
      <c r="P175" s="84" t="n"/>
      <c r="Q175" s="18" t="n"/>
      <c r="R175" s="18" t="n"/>
      <c r="S175" s="18" t="n"/>
      <c r="T175" s="84" t="n"/>
      <c r="U175" s="18" t="n"/>
      <c r="V175" s="84" t="n"/>
      <c r="W175" s="18" t="n"/>
      <c r="X175" s="84" t="n"/>
      <c r="Y175" s="18" t="n"/>
      <c r="Z175" s="86" t="n"/>
      <c r="AA175" s="18" t="n"/>
      <c r="AB175" s="84" t="n"/>
      <c r="AC175" s="18" t="n"/>
      <c r="AD175" s="84" t="n"/>
      <c r="AE175" s="18" t="n"/>
      <c r="AF175" s="84" t="n"/>
      <c r="AG175" s="18" t="n"/>
      <c r="AH175" s="84" t="n"/>
      <c r="AI175" s="22" t="n"/>
      <c r="AJ175" s="84" t="n"/>
      <c r="AK175" s="22" t="n"/>
      <c r="AL175" s="84" t="n"/>
      <c r="AM175" s="22" t="n"/>
      <c r="AN175" s="22" t="n"/>
      <c r="AO175" s="84" t="n"/>
      <c r="AP175" s="84" t="n"/>
      <c r="AQ175" s="85" t="n"/>
      <c r="AR175" s="22" t="n"/>
      <c r="AS175" s="22" t="n"/>
      <c r="AT175" s="22" t="n"/>
      <c r="AU175" s="22" t="n"/>
      <c r="AV175" s="22" t="n"/>
      <c r="AW175" s="22" t="n"/>
      <c r="AX175" s="84" t="n"/>
      <c r="AY175" s="84" t="n"/>
      <c r="AZ175" s="84" t="n"/>
      <c r="BA175" s="84" t="n"/>
      <c r="BB175" s="22" t="n"/>
      <c r="BC175" s="22" t="n"/>
      <c r="BD175" s="85" t="n"/>
      <c r="BE175" s="85" t="n"/>
      <c r="BF175" s="85" t="n"/>
    </row>
    <row r="176">
      <c r="A176" s="83" t="n"/>
      <c r="B176" s="18" t="n"/>
      <c r="C176" s="24" t="n"/>
      <c r="D176" s="18" t="n"/>
      <c r="E176" s="18" t="n"/>
      <c r="F176" s="18" t="n"/>
      <c r="G176" s="84" t="n"/>
      <c r="H176" s="18" t="n"/>
      <c r="I176" s="85" t="n"/>
      <c r="J176" s="18" t="n"/>
      <c r="K176" s="18" t="n"/>
      <c r="L176" s="84" t="n"/>
      <c r="M176" s="18" t="n"/>
      <c r="N176" s="18" t="n"/>
      <c r="O176" s="18" t="n"/>
      <c r="P176" s="84" t="n"/>
      <c r="Q176" s="18" t="n"/>
      <c r="R176" s="18" t="n"/>
      <c r="S176" s="18" t="n"/>
      <c r="T176" s="84" t="n"/>
      <c r="U176" s="18" t="n"/>
      <c r="V176" s="84" t="n"/>
      <c r="W176" s="18" t="n"/>
      <c r="X176" s="84" t="n"/>
      <c r="Y176" s="18" t="n"/>
      <c r="Z176" s="86" t="n"/>
      <c r="AA176" s="18" t="n"/>
      <c r="AB176" s="84" t="n"/>
      <c r="AC176" s="18" t="n"/>
      <c r="AD176" s="84" t="n"/>
      <c r="AE176" s="18" t="n"/>
      <c r="AF176" s="84" t="n"/>
      <c r="AG176" s="18" t="n"/>
      <c r="AH176" s="84" t="n"/>
      <c r="AI176" s="22" t="n"/>
      <c r="AJ176" s="84" t="n"/>
      <c r="AK176" s="22" t="n"/>
      <c r="AL176" s="84" t="n"/>
      <c r="AM176" s="22" t="n"/>
      <c r="AN176" s="22" t="n"/>
      <c r="AO176" s="84" t="n"/>
      <c r="AP176" s="84" t="n"/>
      <c r="AQ176" s="85" t="n"/>
      <c r="AR176" s="22" t="n"/>
      <c r="AS176" s="22" t="n"/>
      <c r="AT176" s="22" t="n"/>
      <c r="AU176" s="22" t="n"/>
      <c r="AV176" s="22" t="n"/>
      <c r="AW176" s="22" t="n"/>
      <c r="AX176" s="84" t="n"/>
      <c r="AY176" s="84" t="n"/>
      <c r="AZ176" s="84" t="n"/>
      <c r="BA176" s="84" t="n"/>
      <c r="BB176" s="22" t="n"/>
      <c r="BC176" s="22" t="n"/>
      <c r="BD176" s="85" t="n"/>
      <c r="BE176" s="85" t="n"/>
      <c r="BF176" s="85" t="n"/>
    </row>
    <row r="177">
      <c r="A177" s="83" t="n"/>
      <c r="B177" s="18" t="n"/>
      <c r="C177" s="24" t="n"/>
      <c r="D177" s="18" t="n"/>
      <c r="E177" s="18" t="n"/>
      <c r="F177" s="18" t="n"/>
      <c r="G177" s="84" t="n"/>
      <c r="H177" s="18" t="n"/>
      <c r="I177" s="85" t="n"/>
      <c r="J177" s="18" t="n"/>
      <c r="K177" s="18" t="n"/>
      <c r="L177" s="84" t="n"/>
      <c r="M177" s="18" t="n"/>
      <c r="N177" s="18" t="n"/>
      <c r="O177" s="18" t="n"/>
      <c r="P177" s="84" t="n"/>
      <c r="Q177" s="18" t="n"/>
      <c r="R177" s="18" t="n"/>
      <c r="S177" s="18" t="n"/>
      <c r="T177" s="84" t="n"/>
      <c r="U177" s="18" t="n"/>
      <c r="V177" s="84" t="n"/>
      <c r="W177" s="18" t="n"/>
      <c r="X177" s="84" t="n"/>
      <c r="Y177" s="18" t="n"/>
      <c r="Z177" s="86" t="n"/>
      <c r="AA177" s="18" t="n"/>
      <c r="AB177" s="84" t="n"/>
      <c r="AC177" s="18" t="n"/>
      <c r="AD177" s="84" t="n"/>
      <c r="AE177" s="18" t="n"/>
      <c r="AF177" s="84" t="n"/>
      <c r="AG177" s="18" t="n"/>
      <c r="AH177" s="84" t="n"/>
      <c r="AI177" s="22" t="n"/>
      <c r="AJ177" s="84" t="n"/>
      <c r="AK177" s="22" t="n"/>
      <c r="AL177" s="84" t="n"/>
      <c r="AM177" s="22" t="n"/>
      <c r="AN177" s="22" t="n"/>
      <c r="AO177" s="84" t="n"/>
      <c r="AP177" s="84" t="n"/>
      <c r="AQ177" s="85" t="n"/>
      <c r="AR177" s="22" t="n"/>
      <c r="AS177" s="22" t="n"/>
      <c r="AT177" s="22" t="n"/>
      <c r="AU177" s="22" t="n"/>
      <c r="AV177" s="22" t="n"/>
      <c r="AW177" s="22" t="n"/>
      <c r="AX177" s="84" t="n"/>
      <c r="AY177" s="84" t="n"/>
      <c r="AZ177" s="84" t="n"/>
      <c r="BA177" s="84" t="n"/>
      <c r="BB177" s="22" t="n"/>
      <c r="BC177" s="22" t="n"/>
      <c r="BD177" s="85" t="n"/>
      <c r="BE177" s="85" t="n"/>
      <c r="BF177" s="85" t="n"/>
    </row>
    <row r="178">
      <c r="A178" s="83" t="n"/>
      <c r="B178" s="18" t="n"/>
      <c r="C178" s="24" t="n"/>
      <c r="D178" s="18" t="n"/>
      <c r="E178" s="18" t="n"/>
      <c r="F178" s="18" t="n"/>
      <c r="G178" s="84" t="n"/>
      <c r="H178" s="18" t="n"/>
      <c r="I178" s="85" t="n"/>
      <c r="J178" s="18" t="n"/>
      <c r="K178" s="18" t="n"/>
      <c r="L178" s="84" t="n"/>
      <c r="M178" s="18" t="n"/>
      <c r="N178" s="18" t="n"/>
      <c r="O178" s="18" t="n"/>
      <c r="P178" s="84" t="n"/>
      <c r="Q178" s="18" t="n"/>
      <c r="R178" s="18" t="n"/>
      <c r="S178" s="18" t="n"/>
      <c r="T178" s="84" t="n"/>
      <c r="U178" s="18" t="n"/>
      <c r="V178" s="84" t="n"/>
      <c r="W178" s="18" t="n"/>
      <c r="X178" s="84" t="n"/>
      <c r="Y178" s="18" t="n"/>
      <c r="Z178" s="86" t="n"/>
      <c r="AA178" s="18" t="n"/>
      <c r="AB178" s="84" t="n"/>
      <c r="AC178" s="18" t="n"/>
      <c r="AD178" s="84" t="n"/>
      <c r="AE178" s="18" t="n"/>
      <c r="AF178" s="84" t="n"/>
      <c r="AG178" s="18" t="n"/>
      <c r="AH178" s="84" t="n"/>
      <c r="AI178" s="22" t="n"/>
      <c r="AJ178" s="84" t="n"/>
      <c r="AK178" s="22" t="n"/>
      <c r="AL178" s="84" t="n"/>
      <c r="AM178" s="22" t="n"/>
      <c r="AN178" s="22" t="n"/>
      <c r="AO178" s="84" t="n"/>
      <c r="AP178" s="84" t="n"/>
      <c r="AQ178" s="85" t="n"/>
      <c r="AR178" s="22" t="n"/>
      <c r="AS178" s="22" t="n"/>
      <c r="AT178" s="22" t="n"/>
      <c r="AU178" s="22" t="n"/>
      <c r="AV178" s="22" t="n"/>
      <c r="AW178" s="22" t="n"/>
      <c r="AX178" s="84" t="n"/>
      <c r="AY178" s="84" t="n"/>
      <c r="AZ178" s="84" t="n"/>
      <c r="BA178" s="84" t="n"/>
      <c r="BB178" s="22" t="n"/>
      <c r="BC178" s="22" t="n"/>
      <c r="BD178" s="85" t="n"/>
      <c r="BE178" s="85" t="n"/>
      <c r="BF178" s="85" t="n"/>
    </row>
    <row r="179">
      <c r="A179" s="83" t="n"/>
      <c r="B179" s="18" t="n"/>
      <c r="C179" s="24" t="n"/>
      <c r="D179" s="18" t="n"/>
      <c r="E179" s="18" t="n"/>
      <c r="F179" s="18" t="n"/>
      <c r="G179" s="84" t="n"/>
      <c r="H179" s="18" t="n"/>
      <c r="I179" s="85" t="n"/>
      <c r="J179" s="18" t="n"/>
      <c r="K179" s="18" t="n"/>
      <c r="L179" s="84" t="n"/>
      <c r="M179" s="18" t="n"/>
      <c r="N179" s="18" t="n"/>
      <c r="O179" s="18" t="n"/>
      <c r="P179" s="84" t="n"/>
      <c r="Q179" s="18" t="n"/>
      <c r="R179" s="18" t="n"/>
      <c r="S179" s="18" t="n"/>
      <c r="T179" s="84" t="n"/>
      <c r="U179" s="18" t="n"/>
      <c r="V179" s="84" t="n"/>
      <c r="W179" s="18" t="n"/>
      <c r="X179" s="84" t="n"/>
      <c r="Y179" s="18" t="n"/>
      <c r="Z179" s="86" t="n"/>
      <c r="AA179" s="18" t="n"/>
      <c r="AB179" s="84" t="n"/>
      <c r="AC179" s="18" t="n"/>
      <c r="AD179" s="84" t="n"/>
      <c r="AE179" s="18" t="n"/>
      <c r="AF179" s="84" t="n"/>
      <c r="AG179" s="18" t="n"/>
      <c r="AH179" s="84" t="n"/>
      <c r="AI179" s="22" t="n"/>
      <c r="AJ179" s="84" t="n"/>
      <c r="AK179" s="22" t="n"/>
      <c r="AL179" s="84" t="n"/>
      <c r="AM179" s="22" t="n"/>
      <c r="AN179" s="22" t="n"/>
      <c r="AO179" s="84" t="n"/>
      <c r="AP179" s="84" t="n"/>
      <c r="AQ179" s="85" t="n"/>
      <c r="AR179" s="22" t="n"/>
      <c r="AS179" s="22" t="n"/>
      <c r="AT179" s="22" t="n"/>
      <c r="AU179" s="22" t="n"/>
      <c r="AV179" s="22" t="n"/>
      <c r="AW179" s="22" t="n"/>
      <c r="AX179" s="84" t="n"/>
      <c r="AY179" s="84" t="n"/>
      <c r="AZ179" s="84" t="n"/>
      <c r="BA179" s="84" t="n"/>
      <c r="BB179" s="22" t="n"/>
      <c r="BC179" s="22" t="n"/>
      <c r="BD179" s="85" t="n"/>
      <c r="BE179" s="85" t="n"/>
      <c r="BF179" s="85" t="n"/>
    </row>
    <row r="180">
      <c r="A180" s="83" t="n"/>
      <c r="B180" s="18" t="n"/>
      <c r="C180" s="24" t="n"/>
      <c r="D180" s="18" t="n"/>
      <c r="E180" s="18" t="n"/>
      <c r="F180" s="18" t="n"/>
      <c r="G180" s="84" t="n"/>
      <c r="H180" s="18" t="n"/>
      <c r="I180" s="85" t="n"/>
      <c r="J180" s="18" t="n"/>
      <c r="K180" s="18" t="n"/>
      <c r="L180" s="84" t="n"/>
      <c r="M180" s="18" t="n"/>
      <c r="N180" s="18" t="n"/>
      <c r="O180" s="18" t="n"/>
      <c r="P180" s="84" t="n"/>
      <c r="Q180" s="18" t="n"/>
      <c r="R180" s="18" t="n"/>
      <c r="S180" s="18" t="n"/>
      <c r="T180" s="84" t="n"/>
      <c r="U180" s="18" t="n"/>
      <c r="V180" s="84" t="n"/>
      <c r="W180" s="18" t="n"/>
      <c r="X180" s="84" t="n"/>
      <c r="Y180" s="18" t="n"/>
      <c r="Z180" s="86" t="n"/>
      <c r="AA180" s="18" t="n"/>
      <c r="AB180" s="84" t="n"/>
      <c r="AC180" s="18" t="n"/>
      <c r="AD180" s="84" t="n"/>
      <c r="AE180" s="18" t="n"/>
      <c r="AF180" s="84" t="n"/>
      <c r="AG180" s="18" t="n"/>
      <c r="AH180" s="84" t="n"/>
      <c r="AI180" s="22" t="n"/>
      <c r="AJ180" s="84" t="n"/>
      <c r="AK180" s="22" t="n"/>
      <c r="AL180" s="84" t="n"/>
      <c r="AM180" s="22" t="n"/>
      <c r="AN180" s="22" t="n"/>
      <c r="AO180" s="84" t="n"/>
      <c r="AP180" s="84" t="n"/>
      <c r="AQ180" s="85" t="n"/>
      <c r="AR180" s="22" t="n"/>
      <c r="AS180" s="22" t="n"/>
      <c r="AT180" s="22" t="n"/>
      <c r="AU180" s="22" t="n"/>
      <c r="AV180" s="22" t="n"/>
      <c r="AW180" s="22" t="n"/>
      <c r="AX180" s="84" t="n"/>
      <c r="AY180" s="84" t="n"/>
      <c r="AZ180" s="84" t="n"/>
      <c r="BA180" s="84" t="n"/>
      <c r="BB180" s="22" t="n"/>
      <c r="BC180" s="22" t="n"/>
      <c r="BD180" s="85" t="n"/>
      <c r="BE180" s="85" t="n"/>
      <c r="BF180" s="85" t="n"/>
    </row>
    <row r="181">
      <c r="A181" s="83" t="n"/>
      <c r="B181" s="18" t="n"/>
      <c r="C181" s="24" t="n"/>
      <c r="D181" s="18" t="n"/>
      <c r="E181" s="18" t="n"/>
      <c r="F181" s="18" t="n"/>
      <c r="G181" s="84" t="n"/>
      <c r="H181" s="18" t="n"/>
      <c r="I181" s="85" t="n"/>
      <c r="J181" s="18" t="n"/>
      <c r="K181" s="18" t="n"/>
      <c r="L181" s="84" t="n"/>
      <c r="M181" s="18" t="n"/>
      <c r="N181" s="18" t="n"/>
      <c r="O181" s="18" t="n"/>
      <c r="P181" s="84" t="n"/>
      <c r="Q181" s="18" t="n"/>
      <c r="R181" s="18" t="n"/>
      <c r="S181" s="18" t="n"/>
      <c r="T181" s="84" t="n"/>
      <c r="U181" s="18" t="n"/>
      <c r="V181" s="84" t="n"/>
      <c r="W181" s="18" t="n"/>
      <c r="X181" s="84" t="n"/>
      <c r="Y181" s="18" t="n"/>
      <c r="Z181" s="86" t="n"/>
      <c r="AA181" s="18" t="n"/>
      <c r="AB181" s="84" t="n"/>
      <c r="AC181" s="18" t="n"/>
      <c r="AD181" s="84" t="n"/>
      <c r="AE181" s="18" t="n"/>
      <c r="AF181" s="84" t="n"/>
      <c r="AG181" s="18" t="n"/>
      <c r="AH181" s="84" t="n"/>
      <c r="AI181" s="22" t="n"/>
      <c r="AJ181" s="84" t="n"/>
      <c r="AK181" s="22" t="n"/>
      <c r="AL181" s="84" t="n"/>
      <c r="AM181" s="22" t="n"/>
      <c r="AN181" s="22" t="n"/>
      <c r="AO181" s="84" t="n"/>
      <c r="AP181" s="84" t="n"/>
      <c r="AQ181" s="85" t="n"/>
      <c r="AR181" s="22" t="n"/>
      <c r="AS181" s="22" t="n"/>
      <c r="AT181" s="22" t="n"/>
      <c r="AU181" s="22" t="n"/>
      <c r="AV181" s="22" t="n"/>
      <c r="AW181" s="22" t="n"/>
      <c r="AX181" s="84" t="n"/>
      <c r="AY181" s="84" t="n"/>
      <c r="AZ181" s="84" t="n"/>
      <c r="BA181" s="84" t="n"/>
      <c r="BB181" s="22" t="n"/>
      <c r="BC181" s="22" t="n"/>
      <c r="BD181" s="85" t="n"/>
      <c r="BE181" s="85" t="n"/>
      <c r="BF181" s="85" t="n"/>
    </row>
    <row r="182">
      <c r="A182" s="83" t="n"/>
      <c r="B182" s="18" t="n"/>
      <c r="C182" s="24" t="n"/>
      <c r="D182" s="18" t="n"/>
      <c r="E182" s="18" t="n"/>
      <c r="F182" s="18" t="n"/>
      <c r="G182" s="84" t="n"/>
      <c r="H182" s="18" t="n"/>
      <c r="I182" s="85" t="n"/>
      <c r="J182" s="18" t="n"/>
      <c r="K182" s="18" t="n"/>
      <c r="L182" s="84" t="n"/>
      <c r="M182" s="18" t="n"/>
      <c r="N182" s="18" t="n"/>
      <c r="O182" s="18" t="n"/>
      <c r="P182" s="84" t="n"/>
      <c r="Q182" s="18" t="n"/>
      <c r="R182" s="18" t="n"/>
      <c r="S182" s="18" t="n"/>
      <c r="T182" s="84" t="n"/>
      <c r="U182" s="18" t="n"/>
      <c r="V182" s="84" t="n"/>
      <c r="W182" s="18" t="n"/>
      <c r="X182" s="84" t="n"/>
      <c r="Y182" s="18" t="n"/>
      <c r="Z182" s="86" t="n"/>
      <c r="AA182" s="18" t="n"/>
      <c r="AB182" s="84" t="n"/>
      <c r="AC182" s="18" t="n"/>
      <c r="AD182" s="84" t="n"/>
      <c r="AE182" s="18" t="n"/>
      <c r="AF182" s="84" t="n"/>
      <c r="AG182" s="18" t="n"/>
      <c r="AH182" s="84" t="n"/>
      <c r="AI182" s="22" t="n"/>
      <c r="AJ182" s="84" t="n"/>
      <c r="AK182" s="22" t="n"/>
      <c r="AL182" s="84" t="n"/>
      <c r="AM182" s="22" t="n"/>
      <c r="AN182" s="22" t="n"/>
      <c r="AO182" s="84" t="n"/>
      <c r="AP182" s="84" t="n"/>
      <c r="AQ182" s="85" t="n"/>
      <c r="AR182" s="22" t="n"/>
      <c r="AS182" s="22" t="n"/>
      <c r="AT182" s="22" t="n"/>
      <c r="AU182" s="22" t="n"/>
      <c r="AV182" s="22" t="n"/>
      <c r="AW182" s="22" t="n"/>
      <c r="AX182" s="84" t="n"/>
      <c r="AY182" s="84" t="n"/>
      <c r="AZ182" s="84" t="n"/>
      <c r="BA182" s="84" t="n"/>
      <c r="BB182" s="22" t="n"/>
      <c r="BC182" s="22" t="n"/>
      <c r="BD182" s="85" t="n"/>
      <c r="BE182" s="85" t="n"/>
      <c r="BF182" s="85" t="n"/>
    </row>
    <row r="183">
      <c r="A183" s="83" t="n"/>
      <c r="B183" s="18" t="n"/>
      <c r="C183" s="24" t="n"/>
      <c r="D183" s="18" t="n"/>
      <c r="E183" s="18" t="n"/>
      <c r="F183" s="18" t="n"/>
      <c r="G183" s="84" t="n"/>
      <c r="H183" s="18" t="n"/>
      <c r="I183" s="85" t="n"/>
      <c r="J183" s="18" t="n"/>
      <c r="K183" s="18" t="n"/>
      <c r="L183" s="84" t="n"/>
      <c r="M183" s="18" t="n"/>
      <c r="N183" s="18" t="n"/>
      <c r="O183" s="18" t="n"/>
      <c r="P183" s="84" t="n"/>
      <c r="Q183" s="18" t="n"/>
      <c r="R183" s="18" t="n"/>
      <c r="S183" s="18" t="n"/>
      <c r="T183" s="84" t="n"/>
      <c r="U183" s="18" t="n"/>
      <c r="V183" s="84" t="n"/>
      <c r="W183" s="18" t="n"/>
      <c r="X183" s="84" t="n"/>
      <c r="Y183" s="18" t="n"/>
      <c r="Z183" s="86" t="n"/>
      <c r="AA183" s="18" t="n"/>
      <c r="AB183" s="84" t="n"/>
      <c r="AC183" s="18" t="n"/>
      <c r="AD183" s="84" t="n"/>
      <c r="AE183" s="18" t="n"/>
      <c r="AF183" s="84" t="n"/>
      <c r="AG183" s="18" t="n"/>
      <c r="AH183" s="84" t="n"/>
      <c r="AI183" s="22" t="n"/>
      <c r="AJ183" s="84" t="n"/>
      <c r="AK183" s="22" t="n"/>
      <c r="AL183" s="84" t="n"/>
      <c r="AM183" s="22" t="n"/>
      <c r="AN183" s="22" t="n"/>
      <c r="AO183" s="84" t="n"/>
      <c r="AP183" s="84" t="n"/>
      <c r="AQ183" s="85" t="n"/>
      <c r="AR183" s="22" t="n"/>
      <c r="AS183" s="22" t="n"/>
      <c r="AT183" s="22" t="n"/>
      <c r="AU183" s="22" t="n"/>
      <c r="AV183" s="22" t="n"/>
      <c r="AW183" s="22" t="n"/>
      <c r="AX183" s="84" t="n"/>
      <c r="AY183" s="84" t="n"/>
      <c r="AZ183" s="84" t="n"/>
      <c r="BA183" s="84" t="n"/>
      <c r="BB183" s="22" t="n"/>
      <c r="BC183" s="22" t="n"/>
      <c r="BD183" s="85" t="n"/>
      <c r="BE183" s="85" t="n"/>
      <c r="BF183" s="85" t="n"/>
    </row>
    <row r="184">
      <c r="A184" s="83" t="n"/>
      <c r="B184" s="18" t="n"/>
      <c r="C184" s="24" t="n"/>
      <c r="D184" s="18" t="n"/>
      <c r="E184" s="18" t="n"/>
      <c r="F184" s="18" t="n"/>
      <c r="G184" s="84" t="n"/>
      <c r="H184" s="18" t="n"/>
      <c r="I184" s="85" t="n"/>
      <c r="J184" s="18" t="n"/>
      <c r="K184" s="18" t="n"/>
      <c r="L184" s="84" t="n"/>
      <c r="M184" s="18" t="n"/>
      <c r="N184" s="18" t="n"/>
      <c r="O184" s="18" t="n"/>
      <c r="P184" s="84" t="n"/>
      <c r="Q184" s="18" t="n"/>
      <c r="R184" s="18" t="n"/>
      <c r="S184" s="18" t="n"/>
      <c r="T184" s="84" t="n"/>
      <c r="U184" s="18" t="n"/>
      <c r="V184" s="84" t="n"/>
      <c r="W184" s="18" t="n"/>
      <c r="X184" s="84" t="n"/>
      <c r="Y184" s="18" t="n"/>
      <c r="Z184" s="86" t="n"/>
      <c r="AA184" s="18" t="n"/>
      <c r="AB184" s="84" t="n"/>
      <c r="AC184" s="18" t="n"/>
      <c r="AD184" s="84" t="n"/>
      <c r="AE184" s="18" t="n"/>
      <c r="AF184" s="84" t="n"/>
      <c r="AG184" s="18" t="n"/>
      <c r="AH184" s="84" t="n"/>
      <c r="AI184" s="22" t="n"/>
      <c r="AJ184" s="84" t="n"/>
      <c r="AK184" s="22" t="n"/>
      <c r="AL184" s="84" t="n"/>
      <c r="AM184" s="22" t="n"/>
      <c r="AN184" s="22" t="n"/>
      <c r="AO184" s="84" t="n"/>
      <c r="AP184" s="84" t="n"/>
      <c r="AQ184" s="85" t="n"/>
      <c r="AR184" s="22" t="n"/>
      <c r="AS184" s="22" t="n"/>
      <c r="AT184" s="22" t="n"/>
      <c r="AU184" s="22" t="n"/>
      <c r="AV184" s="22" t="n"/>
      <c r="AW184" s="22" t="n"/>
      <c r="AX184" s="84" t="n"/>
      <c r="AY184" s="84" t="n"/>
      <c r="AZ184" s="84" t="n"/>
      <c r="BA184" s="84" t="n"/>
      <c r="BB184" s="22" t="n"/>
      <c r="BC184" s="22" t="n"/>
      <c r="BD184" s="85" t="n"/>
      <c r="BE184" s="85" t="n"/>
      <c r="BF184" s="85" t="n"/>
    </row>
    <row r="185">
      <c r="A185" s="83" t="n"/>
      <c r="B185" s="18" t="n"/>
      <c r="C185" s="24" t="n"/>
      <c r="D185" s="18" t="n"/>
      <c r="E185" s="18" t="n"/>
      <c r="F185" s="18" t="n"/>
      <c r="G185" s="84" t="n"/>
      <c r="H185" s="18" t="n"/>
      <c r="I185" s="85" t="n"/>
      <c r="J185" s="18" t="n"/>
      <c r="K185" s="18" t="n"/>
      <c r="L185" s="84" t="n"/>
      <c r="M185" s="18" t="n"/>
      <c r="N185" s="18" t="n"/>
      <c r="O185" s="18" t="n"/>
      <c r="P185" s="84" t="n"/>
      <c r="Q185" s="18" t="n"/>
      <c r="R185" s="18" t="n"/>
      <c r="S185" s="18" t="n"/>
      <c r="T185" s="84" t="n"/>
      <c r="U185" s="18" t="n"/>
      <c r="V185" s="84" t="n"/>
      <c r="W185" s="18" t="n"/>
      <c r="X185" s="84" t="n"/>
      <c r="Y185" s="18" t="n"/>
      <c r="Z185" s="86" t="n"/>
      <c r="AA185" s="18" t="n"/>
      <c r="AB185" s="84" t="n"/>
      <c r="AC185" s="18" t="n"/>
      <c r="AD185" s="84" t="n"/>
      <c r="AE185" s="18" t="n"/>
      <c r="AF185" s="84" t="n"/>
      <c r="AG185" s="18" t="n"/>
      <c r="AH185" s="84" t="n"/>
      <c r="AI185" s="22" t="n"/>
      <c r="AJ185" s="84" t="n"/>
      <c r="AK185" s="22" t="n"/>
      <c r="AL185" s="84" t="n"/>
      <c r="AM185" s="22" t="n"/>
      <c r="AN185" s="22" t="n"/>
      <c r="AO185" s="84" t="n"/>
      <c r="AP185" s="84" t="n"/>
      <c r="AQ185" s="85" t="n"/>
      <c r="AR185" s="22" t="n"/>
      <c r="AS185" s="22" t="n"/>
      <c r="AT185" s="22" t="n"/>
      <c r="AU185" s="22" t="n"/>
      <c r="AV185" s="22" t="n"/>
      <c r="AW185" s="22" t="n"/>
      <c r="AX185" s="84" t="n"/>
      <c r="AY185" s="84" t="n"/>
      <c r="AZ185" s="84" t="n"/>
      <c r="BA185" s="84" t="n"/>
      <c r="BB185" s="22" t="n"/>
      <c r="BC185" s="22" t="n"/>
      <c r="BD185" s="85" t="n"/>
      <c r="BE185" s="85" t="n"/>
      <c r="BF185" s="85" t="n"/>
    </row>
    <row r="186">
      <c r="A186" s="83" t="n"/>
      <c r="B186" s="18" t="n"/>
      <c r="C186" s="24" t="n"/>
      <c r="D186" s="18" t="n"/>
      <c r="E186" s="18" t="n"/>
      <c r="F186" s="18" t="n"/>
      <c r="G186" s="84" t="n"/>
      <c r="H186" s="18" t="n"/>
      <c r="I186" s="85" t="n"/>
      <c r="J186" s="18" t="n"/>
      <c r="K186" s="18" t="n"/>
      <c r="L186" s="84" t="n"/>
      <c r="M186" s="18" t="n"/>
      <c r="N186" s="18" t="n"/>
      <c r="O186" s="18" t="n"/>
      <c r="P186" s="84" t="n"/>
      <c r="Q186" s="18" t="n"/>
      <c r="R186" s="18" t="n"/>
      <c r="S186" s="18" t="n"/>
      <c r="T186" s="84" t="n"/>
      <c r="U186" s="18" t="n"/>
      <c r="V186" s="84" t="n"/>
      <c r="W186" s="18" t="n"/>
      <c r="X186" s="84" t="n"/>
      <c r="Y186" s="18" t="n"/>
      <c r="Z186" s="86" t="n"/>
      <c r="AA186" s="18" t="n"/>
      <c r="AB186" s="84" t="n"/>
      <c r="AC186" s="18" t="n"/>
      <c r="AD186" s="84" t="n"/>
      <c r="AE186" s="18" t="n"/>
      <c r="AF186" s="84" t="n"/>
      <c r="AG186" s="18" t="n"/>
      <c r="AH186" s="84" t="n"/>
      <c r="AI186" s="22" t="n"/>
      <c r="AJ186" s="84" t="n"/>
      <c r="AK186" s="22" t="n"/>
      <c r="AL186" s="84" t="n"/>
      <c r="AM186" s="22" t="n"/>
      <c r="AN186" s="22" t="n"/>
      <c r="AO186" s="84" t="n"/>
      <c r="AP186" s="84" t="n"/>
      <c r="AQ186" s="85" t="n"/>
      <c r="AR186" s="22" t="n"/>
      <c r="AS186" s="22" t="n"/>
      <c r="AT186" s="22" t="n"/>
      <c r="AU186" s="22" t="n"/>
      <c r="AV186" s="22" t="n"/>
      <c r="AW186" s="22" t="n"/>
      <c r="AX186" s="84" t="n"/>
      <c r="AY186" s="84" t="n"/>
      <c r="AZ186" s="84" t="n"/>
      <c r="BA186" s="84" t="n"/>
      <c r="BB186" s="22" t="n"/>
      <c r="BC186" s="22" t="n"/>
      <c r="BD186" s="85" t="n"/>
      <c r="BE186" s="85" t="n"/>
      <c r="BF186" s="85" t="n"/>
    </row>
    <row r="187">
      <c r="A187" s="83" t="n"/>
      <c r="B187" s="18" t="n"/>
      <c r="C187" s="24" t="n"/>
      <c r="D187" s="18" t="n"/>
      <c r="E187" s="18" t="n"/>
      <c r="F187" s="18" t="n"/>
      <c r="G187" s="84" t="n"/>
      <c r="H187" s="18" t="n"/>
      <c r="I187" s="85" t="n"/>
      <c r="J187" s="18" t="n"/>
      <c r="K187" s="18" t="n"/>
      <c r="L187" s="84" t="n"/>
      <c r="M187" s="18" t="n"/>
      <c r="N187" s="18" t="n"/>
      <c r="O187" s="18" t="n"/>
      <c r="P187" s="84" t="n"/>
      <c r="Q187" s="18" t="n"/>
      <c r="R187" s="18" t="n"/>
      <c r="S187" s="18" t="n"/>
      <c r="T187" s="84" t="n"/>
      <c r="U187" s="18" t="n"/>
      <c r="V187" s="84" t="n"/>
      <c r="W187" s="18" t="n"/>
      <c r="X187" s="84" t="n"/>
      <c r="Y187" s="18" t="n"/>
      <c r="Z187" s="86" t="n"/>
      <c r="AA187" s="18" t="n"/>
      <c r="AB187" s="84" t="n"/>
      <c r="AC187" s="18" t="n"/>
      <c r="AD187" s="84" t="n"/>
      <c r="AE187" s="18" t="n"/>
      <c r="AF187" s="84" t="n"/>
      <c r="AG187" s="18" t="n"/>
      <c r="AH187" s="84" t="n"/>
      <c r="AI187" s="22" t="n"/>
      <c r="AJ187" s="84" t="n"/>
      <c r="AK187" s="22" t="n"/>
      <c r="AL187" s="84" t="n"/>
      <c r="AM187" s="22" t="n"/>
      <c r="AN187" s="22" t="n"/>
      <c r="AO187" s="84" t="n"/>
      <c r="AP187" s="84" t="n"/>
      <c r="AQ187" s="85" t="n"/>
      <c r="AR187" s="22" t="n"/>
      <c r="AS187" s="22" t="n"/>
      <c r="AT187" s="22" t="n"/>
      <c r="AU187" s="22" t="n"/>
      <c r="AV187" s="22" t="n"/>
      <c r="AW187" s="22" t="n"/>
      <c r="AX187" s="84" t="n"/>
      <c r="AY187" s="84" t="n"/>
      <c r="AZ187" s="84" t="n"/>
      <c r="BA187" s="84" t="n"/>
      <c r="BB187" s="22" t="n"/>
      <c r="BC187" s="22" t="n"/>
      <c r="BD187" s="85" t="n"/>
      <c r="BE187" s="85" t="n"/>
      <c r="BF187" s="85" t="n"/>
    </row>
    <row r="188">
      <c r="A188" s="83" t="n"/>
      <c r="B188" s="18" t="n"/>
      <c r="C188" s="24" t="n"/>
      <c r="D188" s="18" t="n"/>
      <c r="E188" s="18" t="n"/>
      <c r="F188" s="18" t="n"/>
      <c r="G188" s="84" t="n"/>
      <c r="H188" s="18" t="n"/>
      <c r="I188" s="85" t="n"/>
      <c r="J188" s="18" t="n"/>
      <c r="K188" s="18" t="n"/>
      <c r="L188" s="84" t="n"/>
      <c r="M188" s="18" t="n"/>
      <c r="N188" s="18" t="n"/>
      <c r="O188" s="18" t="n"/>
      <c r="P188" s="84" t="n"/>
      <c r="Q188" s="18" t="n"/>
      <c r="R188" s="18" t="n"/>
      <c r="S188" s="18" t="n"/>
      <c r="T188" s="84" t="n"/>
      <c r="U188" s="18" t="n"/>
      <c r="V188" s="84" t="n"/>
      <c r="W188" s="18" t="n"/>
      <c r="X188" s="84" t="n"/>
      <c r="Y188" s="18" t="n"/>
      <c r="Z188" s="86" t="n"/>
      <c r="AA188" s="18" t="n"/>
      <c r="AB188" s="84" t="n"/>
      <c r="AC188" s="18" t="n"/>
      <c r="AD188" s="84" t="n"/>
      <c r="AE188" s="18" t="n"/>
      <c r="AF188" s="84" t="n"/>
      <c r="AG188" s="18" t="n"/>
      <c r="AH188" s="84" t="n"/>
      <c r="AI188" s="22" t="n"/>
      <c r="AJ188" s="84" t="n"/>
      <c r="AK188" s="22" t="n"/>
      <c r="AL188" s="84" t="n"/>
      <c r="AM188" s="22" t="n"/>
      <c r="AN188" s="22" t="n"/>
      <c r="AO188" s="84" t="n"/>
      <c r="AP188" s="84" t="n"/>
      <c r="AQ188" s="85" t="n"/>
      <c r="AR188" s="22" t="n"/>
      <c r="AS188" s="22" t="n"/>
      <c r="AT188" s="22" t="n"/>
      <c r="AU188" s="22" t="n"/>
      <c r="AV188" s="22" t="n"/>
      <c r="AW188" s="22" t="n"/>
      <c r="AX188" s="84" t="n"/>
      <c r="AY188" s="84" t="n"/>
      <c r="AZ188" s="84" t="n"/>
      <c r="BA188" s="84" t="n"/>
      <c r="BB188" s="22" t="n"/>
      <c r="BC188" s="22" t="n"/>
      <c r="BD188" s="85" t="n"/>
      <c r="BE188" s="85" t="n"/>
      <c r="BF188" s="85" t="n"/>
    </row>
    <row r="189">
      <c r="A189" s="83" t="n"/>
      <c r="B189" s="18" t="n"/>
      <c r="C189" s="24" t="n"/>
      <c r="D189" s="18" t="n"/>
      <c r="E189" s="18" t="n"/>
      <c r="F189" s="18" t="n"/>
      <c r="G189" s="84" t="n"/>
      <c r="H189" s="18" t="n"/>
      <c r="I189" s="85" t="n"/>
      <c r="J189" s="18" t="n"/>
      <c r="K189" s="18" t="n"/>
      <c r="L189" s="84" t="n"/>
      <c r="M189" s="18" t="n"/>
      <c r="N189" s="18" t="n"/>
      <c r="O189" s="18" t="n"/>
      <c r="P189" s="84" t="n"/>
      <c r="Q189" s="18" t="n"/>
      <c r="R189" s="18" t="n"/>
      <c r="S189" s="18" t="n"/>
      <c r="T189" s="84" t="n"/>
      <c r="U189" s="18" t="n"/>
      <c r="V189" s="84" t="n"/>
      <c r="W189" s="18" t="n"/>
      <c r="X189" s="84" t="n"/>
      <c r="Y189" s="18" t="n"/>
      <c r="Z189" s="86" t="n"/>
      <c r="AA189" s="18" t="n"/>
      <c r="AB189" s="84" t="n"/>
      <c r="AC189" s="18" t="n"/>
      <c r="AD189" s="84" t="n"/>
      <c r="AE189" s="18" t="n"/>
      <c r="AF189" s="84" t="n"/>
      <c r="AG189" s="18" t="n"/>
      <c r="AH189" s="84" t="n"/>
      <c r="AI189" s="22" t="n"/>
      <c r="AJ189" s="84" t="n"/>
      <c r="AK189" s="22" t="n"/>
      <c r="AL189" s="84" t="n"/>
      <c r="AM189" s="22" t="n"/>
      <c r="AN189" s="22" t="n"/>
      <c r="AO189" s="84" t="n"/>
      <c r="AP189" s="84" t="n"/>
      <c r="AQ189" s="85" t="n"/>
      <c r="AR189" s="22" t="n"/>
      <c r="AS189" s="22" t="n"/>
      <c r="AT189" s="22" t="n"/>
      <c r="AU189" s="22" t="n"/>
      <c r="AV189" s="22" t="n"/>
      <c r="AW189" s="22" t="n"/>
      <c r="AX189" s="84" t="n"/>
      <c r="AY189" s="84" t="n"/>
      <c r="AZ189" s="84" t="n"/>
      <c r="BA189" s="84" t="n"/>
      <c r="BB189" s="22" t="n"/>
      <c r="BC189" s="22" t="n"/>
      <c r="BD189" s="85" t="n"/>
      <c r="BE189" s="85" t="n"/>
      <c r="BF189" s="85" t="n"/>
    </row>
    <row r="190">
      <c r="A190" s="83" t="n"/>
      <c r="B190" s="18" t="n"/>
      <c r="C190" s="24" t="n"/>
      <c r="D190" s="18" t="n"/>
      <c r="E190" s="18" t="n"/>
      <c r="F190" s="18" t="n"/>
      <c r="G190" s="84" t="n"/>
      <c r="H190" s="18" t="n"/>
      <c r="I190" s="85" t="n"/>
      <c r="J190" s="18" t="n"/>
      <c r="K190" s="18" t="n"/>
      <c r="L190" s="84" t="n"/>
      <c r="M190" s="18" t="n"/>
      <c r="N190" s="18" t="n"/>
      <c r="O190" s="18" t="n"/>
      <c r="P190" s="84" t="n"/>
      <c r="Q190" s="18" t="n"/>
      <c r="R190" s="18" t="n"/>
      <c r="S190" s="18" t="n"/>
      <c r="T190" s="84" t="n"/>
      <c r="U190" s="18" t="n"/>
      <c r="V190" s="84" t="n"/>
      <c r="W190" s="18" t="n"/>
      <c r="X190" s="84" t="n"/>
      <c r="Y190" s="18" t="n"/>
      <c r="Z190" s="86" t="n"/>
      <c r="AA190" s="18" t="n"/>
      <c r="AB190" s="84" t="n"/>
      <c r="AC190" s="18" t="n"/>
      <c r="AD190" s="84" t="n"/>
      <c r="AE190" s="18" t="n"/>
      <c r="AF190" s="84" t="n"/>
      <c r="AG190" s="18" t="n"/>
      <c r="AH190" s="84" t="n"/>
      <c r="AI190" s="22" t="n"/>
      <c r="AJ190" s="84" t="n"/>
      <c r="AK190" s="22" t="n"/>
      <c r="AL190" s="84" t="n"/>
      <c r="AM190" s="22" t="n"/>
      <c r="AN190" s="22" t="n"/>
      <c r="AO190" s="84" t="n"/>
      <c r="AP190" s="84" t="n"/>
      <c r="AQ190" s="85" t="n"/>
      <c r="AR190" s="22" t="n"/>
      <c r="AS190" s="22" t="n"/>
      <c r="AT190" s="22" t="n"/>
      <c r="AU190" s="22" t="n"/>
      <c r="AV190" s="22" t="n"/>
      <c r="AW190" s="22" t="n"/>
      <c r="AX190" s="84" t="n"/>
      <c r="AY190" s="84" t="n"/>
      <c r="AZ190" s="84" t="n"/>
      <c r="BA190" s="84" t="n"/>
      <c r="BB190" s="22" t="n"/>
      <c r="BC190" s="22" t="n"/>
      <c r="BD190" s="85" t="n"/>
      <c r="BE190" s="85" t="n"/>
      <c r="BF190" s="85" t="n"/>
    </row>
    <row r="191">
      <c r="A191" s="83" t="n"/>
      <c r="B191" s="18" t="n"/>
      <c r="C191" s="24" t="n"/>
      <c r="D191" s="18" t="n"/>
      <c r="E191" s="18" t="n"/>
      <c r="F191" s="18" t="n"/>
      <c r="G191" s="84" t="n"/>
      <c r="H191" s="18" t="n"/>
      <c r="I191" s="85" t="n"/>
      <c r="J191" s="18" t="n"/>
      <c r="K191" s="18" t="n"/>
      <c r="L191" s="84" t="n"/>
      <c r="M191" s="18" t="n"/>
      <c r="N191" s="18" t="n"/>
      <c r="O191" s="18" t="n"/>
      <c r="P191" s="84" t="n"/>
      <c r="Q191" s="18" t="n"/>
      <c r="R191" s="18" t="n"/>
      <c r="S191" s="18" t="n"/>
      <c r="T191" s="84" t="n"/>
      <c r="U191" s="18" t="n"/>
      <c r="V191" s="84" t="n"/>
      <c r="W191" s="18" t="n"/>
      <c r="X191" s="84" t="n"/>
      <c r="Y191" s="18" t="n"/>
      <c r="Z191" s="86" t="n"/>
      <c r="AA191" s="18" t="n"/>
      <c r="AB191" s="84" t="n"/>
      <c r="AC191" s="18" t="n"/>
      <c r="AD191" s="84" t="n"/>
      <c r="AE191" s="18" t="n"/>
      <c r="AF191" s="84" t="n"/>
      <c r="AG191" s="18" t="n"/>
      <c r="AH191" s="84" t="n"/>
      <c r="AI191" s="22" t="n"/>
      <c r="AJ191" s="84" t="n"/>
      <c r="AK191" s="22" t="n"/>
      <c r="AL191" s="84" t="n"/>
      <c r="AM191" s="22" t="n"/>
      <c r="AN191" s="22" t="n"/>
      <c r="AO191" s="84" t="n"/>
      <c r="AP191" s="84" t="n"/>
      <c r="AQ191" s="85" t="n"/>
      <c r="AR191" s="22" t="n"/>
      <c r="AS191" s="22" t="n"/>
      <c r="AT191" s="22" t="n"/>
      <c r="AU191" s="22" t="n"/>
      <c r="AV191" s="22" t="n"/>
      <c r="AW191" s="22" t="n"/>
      <c r="AX191" s="84" t="n"/>
      <c r="AY191" s="84" t="n"/>
      <c r="AZ191" s="84" t="n"/>
      <c r="BA191" s="84" t="n"/>
      <c r="BB191" s="22" t="n"/>
      <c r="BC191" s="22" t="n"/>
      <c r="BD191" s="85" t="n"/>
      <c r="BE191" s="85" t="n"/>
      <c r="BF191" s="85" t="n"/>
    </row>
    <row r="192">
      <c r="A192" s="83" t="n"/>
      <c r="B192" s="18" t="n"/>
      <c r="C192" s="24" t="n"/>
      <c r="D192" s="18" t="n"/>
      <c r="E192" s="18" t="n"/>
      <c r="F192" s="18" t="n"/>
      <c r="G192" s="84" t="n"/>
      <c r="H192" s="18" t="n"/>
      <c r="I192" s="85" t="n"/>
      <c r="J192" s="18" t="n"/>
      <c r="K192" s="18" t="n"/>
      <c r="L192" s="84" t="n"/>
      <c r="M192" s="18" t="n"/>
      <c r="N192" s="18" t="n"/>
      <c r="O192" s="18" t="n"/>
      <c r="P192" s="84" t="n"/>
      <c r="Q192" s="18" t="n"/>
      <c r="R192" s="18" t="n"/>
      <c r="S192" s="18" t="n"/>
      <c r="T192" s="84" t="n"/>
      <c r="U192" s="18" t="n"/>
      <c r="V192" s="84" t="n"/>
      <c r="W192" s="18" t="n"/>
      <c r="X192" s="84" t="n"/>
      <c r="Y192" s="18" t="n"/>
      <c r="Z192" s="86" t="n"/>
      <c r="AA192" s="18" t="n"/>
      <c r="AB192" s="84" t="n"/>
      <c r="AC192" s="18" t="n"/>
      <c r="AD192" s="84" t="n"/>
      <c r="AE192" s="18" t="n"/>
      <c r="AF192" s="84" t="n"/>
      <c r="AG192" s="18" t="n"/>
      <c r="AH192" s="84" t="n"/>
      <c r="AI192" s="22" t="n"/>
      <c r="AJ192" s="84" t="n"/>
      <c r="AK192" s="22" t="n"/>
      <c r="AL192" s="84" t="n"/>
      <c r="AM192" s="22" t="n"/>
      <c r="AN192" s="22" t="n"/>
      <c r="AO192" s="84" t="n"/>
      <c r="AP192" s="84" t="n"/>
      <c r="AQ192" s="85" t="n"/>
      <c r="AR192" s="22" t="n"/>
      <c r="AS192" s="22" t="n"/>
      <c r="AT192" s="22" t="n"/>
      <c r="AU192" s="22" t="n"/>
      <c r="AV192" s="22" t="n"/>
      <c r="AW192" s="22" t="n"/>
      <c r="AX192" s="84" t="n"/>
      <c r="AY192" s="84" t="n"/>
      <c r="AZ192" s="84" t="n"/>
      <c r="BA192" s="84" t="n"/>
      <c r="BB192" s="22" t="n"/>
      <c r="BC192" s="22" t="n"/>
      <c r="BD192" s="85" t="n"/>
      <c r="BE192" s="85" t="n"/>
      <c r="BF192" s="85" t="n"/>
    </row>
    <row r="193">
      <c r="A193" s="83" t="n"/>
      <c r="B193" s="18" t="n"/>
      <c r="C193" s="24" t="n"/>
      <c r="D193" s="18" t="n"/>
      <c r="E193" s="18" t="n"/>
      <c r="F193" s="18" t="n"/>
      <c r="G193" s="84" t="n"/>
      <c r="H193" s="18" t="n"/>
      <c r="I193" s="85" t="n"/>
      <c r="J193" s="18" t="n"/>
      <c r="K193" s="18" t="n"/>
      <c r="L193" s="84" t="n"/>
      <c r="M193" s="18" t="n"/>
      <c r="N193" s="18" t="n"/>
      <c r="O193" s="18" t="n"/>
      <c r="P193" s="84" t="n"/>
      <c r="Q193" s="18" t="n"/>
      <c r="R193" s="18" t="n"/>
      <c r="S193" s="18" t="n"/>
      <c r="T193" s="84" t="n"/>
      <c r="U193" s="18" t="n"/>
      <c r="V193" s="84" t="n"/>
      <c r="W193" s="18" t="n"/>
      <c r="X193" s="84" t="n"/>
      <c r="Y193" s="18" t="n"/>
      <c r="Z193" s="86" t="n"/>
      <c r="AA193" s="18" t="n"/>
      <c r="AB193" s="84" t="n"/>
      <c r="AC193" s="18" t="n"/>
      <c r="AD193" s="84" t="n"/>
      <c r="AE193" s="18" t="n"/>
      <c r="AF193" s="84" t="n"/>
      <c r="AG193" s="18" t="n"/>
      <c r="AH193" s="84" t="n"/>
      <c r="AI193" s="22" t="n"/>
      <c r="AJ193" s="84" t="n"/>
      <c r="AK193" s="22" t="n"/>
      <c r="AL193" s="84" t="n"/>
      <c r="AM193" s="22" t="n"/>
      <c r="AN193" s="22" t="n"/>
      <c r="AO193" s="84" t="n"/>
      <c r="AP193" s="84" t="n"/>
      <c r="AQ193" s="85" t="n"/>
      <c r="AR193" s="22" t="n"/>
      <c r="AS193" s="22" t="n"/>
      <c r="AT193" s="22" t="n"/>
      <c r="AU193" s="22" t="n"/>
      <c r="AV193" s="22" t="n"/>
      <c r="AW193" s="22" t="n"/>
      <c r="AX193" s="84" t="n"/>
      <c r="AY193" s="84" t="n"/>
      <c r="AZ193" s="84" t="n"/>
      <c r="BA193" s="84" t="n"/>
      <c r="BB193" s="22" t="n"/>
      <c r="BC193" s="22" t="n"/>
      <c r="BD193" s="85" t="n"/>
      <c r="BE193" s="85" t="n"/>
      <c r="BF193" s="85" t="n"/>
    </row>
    <row r="194">
      <c r="A194" s="83" t="n"/>
      <c r="B194" s="18" t="n"/>
      <c r="C194" s="24" t="n"/>
      <c r="D194" s="18" t="n"/>
      <c r="E194" s="18" t="n"/>
      <c r="F194" s="18" t="n"/>
      <c r="G194" s="84" t="n"/>
      <c r="H194" s="18" t="n"/>
      <c r="I194" s="85" t="n"/>
      <c r="J194" s="18" t="n"/>
      <c r="K194" s="18" t="n"/>
      <c r="L194" s="84" t="n"/>
      <c r="M194" s="18" t="n"/>
      <c r="N194" s="18" t="n"/>
      <c r="O194" s="18" t="n"/>
      <c r="P194" s="84" t="n"/>
      <c r="Q194" s="18" t="n"/>
      <c r="R194" s="18" t="n"/>
      <c r="S194" s="18" t="n"/>
      <c r="T194" s="84" t="n"/>
      <c r="U194" s="18" t="n"/>
      <c r="V194" s="84" t="n"/>
      <c r="W194" s="18" t="n"/>
      <c r="X194" s="84" t="n"/>
      <c r="Y194" s="18" t="n"/>
      <c r="Z194" s="86" t="n"/>
      <c r="AA194" s="18" t="n"/>
      <c r="AB194" s="84" t="n"/>
      <c r="AC194" s="18" t="n"/>
      <c r="AD194" s="84" t="n"/>
      <c r="AE194" s="18" t="n"/>
      <c r="AF194" s="84" t="n"/>
      <c r="AG194" s="18" t="n"/>
      <c r="AH194" s="84" t="n"/>
      <c r="AI194" s="22" t="n"/>
      <c r="AJ194" s="84" t="n"/>
      <c r="AK194" s="22" t="n"/>
      <c r="AL194" s="84" t="n"/>
      <c r="AM194" s="22" t="n"/>
      <c r="AN194" s="22" t="n"/>
      <c r="AO194" s="84" t="n"/>
      <c r="AP194" s="84" t="n"/>
      <c r="AQ194" s="85" t="n"/>
      <c r="AR194" s="22" t="n"/>
      <c r="AS194" s="22" t="n"/>
      <c r="AT194" s="22" t="n"/>
      <c r="AU194" s="22" t="n"/>
      <c r="AV194" s="22" t="n"/>
      <c r="AW194" s="22" t="n"/>
      <c r="AX194" s="84" t="n"/>
      <c r="AY194" s="84" t="n"/>
      <c r="AZ194" s="84" t="n"/>
      <c r="BA194" s="84" t="n"/>
      <c r="BB194" s="22" t="n"/>
      <c r="BC194" s="22" t="n"/>
      <c r="BD194" s="85" t="n"/>
      <c r="BE194" s="85" t="n"/>
      <c r="BF194" s="85" t="n"/>
    </row>
    <row r="195">
      <c r="A195" s="83" t="n"/>
      <c r="B195" s="18" t="n"/>
      <c r="C195" s="24" t="n"/>
      <c r="D195" s="18" t="n"/>
      <c r="E195" s="18" t="n"/>
      <c r="F195" s="18" t="n"/>
      <c r="G195" s="84" t="n"/>
      <c r="H195" s="18" t="n"/>
      <c r="I195" s="85" t="n"/>
      <c r="J195" s="18" t="n"/>
      <c r="K195" s="18" t="n"/>
      <c r="L195" s="84" t="n"/>
      <c r="M195" s="18" t="n"/>
      <c r="N195" s="18" t="n"/>
      <c r="O195" s="18" t="n"/>
      <c r="P195" s="84" t="n"/>
      <c r="Q195" s="18" t="n"/>
      <c r="R195" s="18" t="n"/>
      <c r="S195" s="18" t="n"/>
      <c r="T195" s="84" t="n"/>
      <c r="U195" s="18" t="n"/>
      <c r="V195" s="84" t="n"/>
      <c r="W195" s="18" t="n"/>
      <c r="X195" s="84" t="n"/>
      <c r="Y195" s="18" t="n"/>
      <c r="Z195" s="86" t="n"/>
      <c r="AA195" s="18" t="n"/>
      <c r="AB195" s="84" t="n"/>
      <c r="AC195" s="18" t="n"/>
      <c r="AD195" s="84" t="n"/>
      <c r="AE195" s="18" t="n"/>
      <c r="AF195" s="84" t="n"/>
      <c r="AG195" s="18" t="n"/>
      <c r="AH195" s="84" t="n"/>
      <c r="AI195" s="22" t="n"/>
      <c r="AJ195" s="84" t="n"/>
      <c r="AK195" s="22" t="n"/>
      <c r="AL195" s="84" t="n"/>
      <c r="AM195" s="22" t="n"/>
      <c r="AN195" s="22" t="n"/>
      <c r="AO195" s="84" t="n"/>
      <c r="AP195" s="84" t="n"/>
      <c r="AQ195" s="85" t="n"/>
      <c r="AR195" s="22" t="n"/>
      <c r="AS195" s="22" t="n"/>
      <c r="AT195" s="22" t="n"/>
      <c r="AU195" s="22" t="n"/>
      <c r="AV195" s="22" t="n"/>
      <c r="AW195" s="22" t="n"/>
      <c r="AX195" s="84" t="n"/>
      <c r="AY195" s="84" t="n"/>
      <c r="AZ195" s="84" t="n"/>
      <c r="BA195" s="84" t="n"/>
      <c r="BB195" s="22" t="n"/>
      <c r="BC195" s="22" t="n"/>
      <c r="BD195" s="85" t="n"/>
      <c r="BE195" s="85" t="n"/>
      <c r="BF195" s="85" t="n"/>
    </row>
    <row r="196">
      <c r="A196" s="83" t="n"/>
      <c r="B196" s="18" t="n"/>
      <c r="C196" s="24" t="n"/>
      <c r="D196" s="18" t="n"/>
      <c r="E196" s="18" t="n"/>
      <c r="F196" s="18" t="n"/>
      <c r="G196" s="84" t="n"/>
      <c r="H196" s="18" t="n"/>
      <c r="I196" s="85" t="n"/>
      <c r="J196" s="18" t="n"/>
      <c r="K196" s="18" t="n"/>
      <c r="L196" s="84" t="n"/>
      <c r="M196" s="18" t="n"/>
      <c r="N196" s="18" t="n"/>
      <c r="O196" s="18" t="n"/>
      <c r="P196" s="84" t="n"/>
      <c r="Q196" s="18" t="n"/>
      <c r="R196" s="18" t="n"/>
      <c r="S196" s="18" t="n"/>
      <c r="T196" s="84" t="n"/>
      <c r="U196" s="18" t="n"/>
      <c r="V196" s="84" t="n"/>
      <c r="W196" s="18" t="n"/>
      <c r="X196" s="84" t="n"/>
      <c r="Y196" s="18" t="n"/>
      <c r="Z196" s="86" t="n"/>
      <c r="AA196" s="18" t="n"/>
      <c r="AB196" s="84" t="n"/>
      <c r="AC196" s="18" t="n"/>
      <c r="AD196" s="84" t="n"/>
      <c r="AE196" s="18" t="n"/>
      <c r="AF196" s="84" t="n"/>
      <c r="AG196" s="18" t="n"/>
      <c r="AH196" s="84" t="n"/>
      <c r="AI196" s="22" t="n"/>
      <c r="AJ196" s="84" t="n"/>
      <c r="AK196" s="22" t="n"/>
      <c r="AL196" s="84" t="n"/>
      <c r="AM196" s="22" t="n"/>
      <c r="AN196" s="22" t="n"/>
      <c r="AO196" s="84" t="n"/>
      <c r="AP196" s="84" t="n"/>
      <c r="AQ196" s="85" t="n"/>
      <c r="AR196" s="22" t="n"/>
      <c r="AS196" s="22" t="n"/>
      <c r="AT196" s="22" t="n"/>
      <c r="AU196" s="22" t="n"/>
      <c r="AV196" s="22" t="n"/>
      <c r="AW196" s="22" t="n"/>
      <c r="AX196" s="84" t="n"/>
      <c r="AY196" s="84" t="n"/>
      <c r="AZ196" s="84" t="n"/>
      <c r="BA196" s="84" t="n"/>
      <c r="BB196" s="22" t="n"/>
      <c r="BC196" s="22" t="n"/>
      <c r="BD196" s="85" t="n"/>
      <c r="BE196" s="85" t="n"/>
      <c r="BF196" s="85" t="n"/>
    </row>
    <row r="197">
      <c r="A197" s="83" t="n"/>
      <c r="B197" s="18" t="n"/>
      <c r="C197" s="24" t="n"/>
      <c r="D197" s="18" t="n"/>
      <c r="E197" s="18" t="n"/>
      <c r="F197" s="18" t="n"/>
      <c r="G197" s="84" t="n"/>
      <c r="H197" s="18" t="n"/>
      <c r="I197" s="85" t="n"/>
      <c r="J197" s="18" t="n"/>
      <c r="K197" s="18" t="n"/>
      <c r="L197" s="84" t="n"/>
      <c r="M197" s="18" t="n"/>
      <c r="N197" s="18" t="n"/>
      <c r="O197" s="18" t="n"/>
      <c r="P197" s="84" t="n"/>
      <c r="Q197" s="18" t="n"/>
      <c r="R197" s="18" t="n"/>
      <c r="S197" s="18" t="n"/>
      <c r="T197" s="84" t="n"/>
      <c r="U197" s="18" t="n"/>
      <c r="V197" s="84" t="n"/>
      <c r="W197" s="18" t="n"/>
      <c r="X197" s="84" t="n"/>
      <c r="Y197" s="18" t="n"/>
      <c r="Z197" s="86" t="n"/>
      <c r="AA197" s="18" t="n"/>
      <c r="AB197" s="84" t="n"/>
      <c r="AC197" s="18" t="n"/>
      <c r="AD197" s="84" t="n"/>
      <c r="AE197" s="18" t="n"/>
      <c r="AF197" s="84" t="n"/>
      <c r="AG197" s="18" t="n"/>
      <c r="AH197" s="84" t="n"/>
      <c r="AI197" s="22" t="n"/>
      <c r="AJ197" s="84" t="n"/>
      <c r="AK197" s="22" t="n"/>
      <c r="AL197" s="84" t="n"/>
      <c r="AM197" s="22" t="n"/>
      <c r="AN197" s="22" t="n"/>
      <c r="AO197" s="84" t="n"/>
      <c r="AP197" s="84" t="n"/>
      <c r="AQ197" s="85" t="n"/>
      <c r="AR197" s="22" t="n"/>
      <c r="AS197" s="22" t="n"/>
      <c r="AT197" s="22" t="n"/>
      <c r="AU197" s="22" t="n"/>
      <c r="AV197" s="22" t="n"/>
      <c r="AW197" s="22" t="n"/>
      <c r="AX197" s="84" t="n"/>
      <c r="AY197" s="84" t="n"/>
      <c r="AZ197" s="84" t="n"/>
      <c r="BA197" s="84" t="n"/>
      <c r="BB197" s="22" t="n"/>
      <c r="BC197" s="22" t="n"/>
      <c r="BD197" s="85" t="n"/>
      <c r="BE197" s="85" t="n"/>
      <c r="BF197" s="85" t="n"/>
    </row>
    <row r="198">
      <c r="A198" s="83" t="n"/>
      <c r="B198" s="18" t="n"/>
      <c r="C198" s="24" t="n"/>
      <c r="D198" s="18" t="n"/>
      <c r="E198" s="18" t="n"/>
      <c r="F198" s="18" t="n"/>
      <c r="G198" s="84" t="n"/>
      <c r="H198" s="18" t="n"/>
      <c r="I198" s="85" t="n"/>
      <c r="J198" s="18" t="n"/>
      <c r="K198" s="18" t="n"/>
      <c r="L198" s="84" t="n"/>
      <c r="M198" s="18" t="n"/>
      <c r="N198" s="18" t="n"/>
      <c r="O198" s="18" t="n"/>
      <c r="P198" s="84" t="n"/>
      <c r="Q198" s="18" t="n"/>
      <c r="R198" s="18" t="n"/>
      <c r="S198" s="18" t="n"/>
      <c r="T198" s="84" t="n"/>
      <c r="U198" s="18" t="n"/>
      <c r="V198" s="84" t="n"/>
      <c r="W198" s="18" t="n"/>
      <c r="X198" s="84" t="n"/>
      <c r="Y198" s="18" t="n"/>
      <c r="Z198" s="86" t="n"/>
      <c r="AA198" s="18" t="n"/>
      <c r="AB198" s="84" t="n"/>
      <c r="AC198" s="18" t="n"/>
      <c r="AD198" s="84" t="n"/>
      <c r="AE198" s="18" t="n"/>
      <c r="AF198" s="84" t="n"/>
      <c r="AG198" s="18" t="n"/>
      <c r="AH198" s="84" t="n"/>
      <c r="AI198" s="22" t="n"/>
      <c r="AJ198" s="84" t="n"/>
      <c r="AK198" s="22" t="n"/>
      <c r="AL198" s="84" t="n"/>
      <c r="AM198" s="22" t="n"/>
      <c r="AN198" s="22" t="n"/>
      <c r="AO198" s="84" t="n"/>
      <c r="AP198" s="84" t="n"/>
      <c r="AQ198" s="85" t="n"/>
      <c r="AR198" s="22" t="n"/>
      <c r="AS198" s="22" t="n"/>
      <c r="AT198" s="22" t="n"/>
      <c r="AU198" s="22" t="n"/>
      <c r="AV198" s="22" t="n"/>
      <c r="AW198" s="22" t="n"/>
      <c r="AX198" s="84" t="n"/>
      <c r="AY198" s="84" t="n"/>
      <c r="AZ198" s="84" t="n"/>
      <c r="BA198" s="84" t="n"/>
      <c r="BB198" s="22" t="n"/>
      <c r="BC198" s="22" t="n"/>
      <c r="BD198" s="85" t="n"/>
      <c r="BE198" s="85" t="n"/>
      <c r="BF198" s="85" t="n"/>
    </row>
    <row r="199">
      <c r="A199" s="83" t="n"/>
      <c r="B199" s="18" t="n"/>
      <c r="C199" s="24" t="n"/>
      <c r="D199" s="18" t="n"/>
      <c r="E199" s="18" t="n"/>
      <c r="F199" s="18" t="n"/>
      <c r="G199" s="84" t="n"/>
      <c r="H199" s="18" t="n"/>
      <c r="I199" s="85" t="n"/>
      <c r="J199" s="18" t="n"/>
      <c r="K199" s="18" t="n"/>
      <c r="L199" s="84" t="n"/>
      <c r="M199" s="18" t="n"/>
      <c r="N199" s="18" t="n"/>
      <c r="O199" s="18" t="n"/>
      <c r="P199" s="84" t="n"/>
      <c r="Q199" s="18" t="n"/>
      <c r="R199" s="18" t="n"/>
      <c r="S199" s="18" t="n"/>
      <c r="T199" s="84" t="n"/>
      <c r="U199" s="18" t="n"/>
      <c r="V199" s="84" t="n"/>
      <c r="W199" s="18" t="n"/>
      <c r="X199" s="84" t="n"/>
      <c r="Y199" s="18" t="n"/>
      <c r="Z199" s="86" t="n"/>
      <c r="AA199" s="18" t="n"/>
      <c r="AB199" s="84" t="n"/>
      <c r="AC199" s="18" t="n"/>
      <c r="AD199" s="84" t="n"/>
      <c r="AE199" s="18" t="n"/>
      <c r="AF199" s="84" t="n"/>
      <c r="AG199" s="18" t="n"/>
      <c r="AH199" s="84" t="n"/>
      <c r="AI199" s="22" t="n"/>
      <c r="AJ199" s="84" t="n"/>
      <c r="AK199" s="22" t="n"/>
      <c r="AL199" s="84" t="n"/>
      <c r="AM199" s="22" t="n"/>
      <c r="AN199" s="22" t="n"/>
      <c r="AO199" s="84" t="n"/>
      <c r="AP199" s="84" t="n"/>
      <c r="AQ199" s="85" t="n"/>
      <c r="AR199" s="22" t="n"/>
      <c r="AS199" s="22" t="n"/>
      <c r="AT199" s="22" t="n"/>
      <c r="AU199" s="22" t="n"/>
      <c r="AV199" s="22" t="n"/>
      <c r="AW199" s="22" t="n"/>
      <c r="AX199" s="84" t="n"/>
      <c r="AY199" s="84" t="n"/>
      <c r="AZ199" s="84" t="n"/>
      <c r="BA199" s="84" t="n"/>
      <c r="BB199" s="22" t="n"/>
      <c r="BC199" s="22" t="n"/>
      <c r="BD199" s="85" t="n"/>
      <c r="BE199" s="85" t="n"/>
      <c r="BF199" s="85" t="n"/>
    </row>
    <row r="200">
      <c r="A200" s="83" t="n"/>
      <c r="B200" s="18" t="n"/>
      <c r="C200" s="24" t="n"/>
      <c r="D200" s="18" t="n"/>
      <c r="E200" s="18" t="n"/>
      <c r="F200" s="18" t="n"/>
      <c r="G200" s="84" t="n"/>
      <c r="H200" s="18" t="n"/>
      <c r="I200" s="85" t="n"/>
      <c r="J200" s="18" t="n"/>
      <c r="K200" s="18" t="n"/>
      <c r="L200" s="84" t="n"/>
      <c r="M200" s="18" t="n"/>
      <c r="N200" s="18" t="n"/>
      <c r="O200" s="18" t="n"/>
      <c r="P200" s="84" t="n"/>
      <c r="Q200" s="18" t="n"/>
      <c r="R200" s="18" t="n"/>
      <c r="S200" s="18" t="n"/>
      <c r="T200" s="84" t="n"/>
      <c r="U200" s="18" t="n"/>
      <c r="V200" s="84" t="n"/>
      <c r="W200" s="18" t="n"/>
      <c r="X200" s="84" t="n"/>
      <c r="Y200" s="18" t="n"/>
      <c r="Z200" s="86" t="n"/>
      <c r="AA200" s="18" t="n"/>
      <c r="AB200" s="84" t="n"/>
      <c r="AC200" s="18" t="n"/>
      <c r="AD200" s="84" t="n"/>
      <c r="AE200" s="18" t="n"/>
      <c r="AF200" s="84" t="n"/>
      <c r="AG200" s="18" t="n"/>
      <c r="AH200" s="84" t="n"/>
      <c r="AI200" s="22" t="n"/>
      <c r="AJ200" s="84" t="n"/>
      <c r="AK200" s="22" t="n"/>
      <c r="AL200" s="84" t="n"/>
      <c r="AM200" s="22" t="n"/>
      <c r="AN200" s="22" t="n"/>
      <c r="AO200" s="84" t="n"/>
      <c r="AP200" s="84" t="n"/>
      <c r="AQ200" s="85" t="n"/>
      <c r="AR200" s="22" t="n"/>
      <c r="AS200" s="22" t="n"/>
      <c r="AT200" s="22" t="n"/>
      <c r="AU200" s="22" t="n"/>
      <c r="AV200" s="22" t="n"/>
      <c r="AW200" s="22" t="n"/>
      <c r="AX200" s="84" t="n"/>
      <c r="AY200" s="84" t="n"/>
      <c r="AZ200" s="84" t="n"/>
      <c r="BA200" s="84" t="n"/>
      <c r="BB200" s="22" t="n"/>
      <c r="BC200" s="22" t="n"/>
      <c r="BD200" s="85" t="n"/>
      <c r="BE200" s="85" t="n"/>
      <c r="BF200" s="85" t="n"/>
    </row>
    <row r="201">
      <c r="A201" s="83" t="n"/>
      <c r="B201" s="18" t="n"/>
      <c r="C201" s="24" t="n"/>
      <c r="D201" s="18" t="n"/>
      <c r="E201" s="18" t="n"/>
      <c r="F201" s="18" t="n"/>
      <c r="G201" s="84" t="n"/>
      <c r="H201" s="18" t="n"/>
      <c r="I201" s="85" t="n"/>
      <c r="J201" s="18" t="n"/>
      <c r="K201" s="18" t="n"/>
      <c r="L201" s="84" t="n"/>
      <c r="M201" s="18" t="n"/>
      <c r="N201" s="18" t="n"/>
      <c r="O201" s="18" t="n"/>
      <c r="P201" s="84" t="n"/>
      <c r="Q201" s="18" t="n"/>
      <c r="R201" s="18" t="n"/>
      <c r="S201" s="18" t="n"/>
      <c r="T201" s="84" t="n"/>
      <c r="U201" s="18" t="n"/>
      <c r="V201" s="84" t="n"/>
      <c r="W201" s="18" t="n"/>
      <c r="X201" s="84" t="n"/>
      <c r="Y201" s="18" t="n"/>
      <c r="Z201" s="86" t="n"/>
      <c r="AA201" s="18" t="n"/>
      <c r="AB201" s="84" t="n"/>
      <c r="AC201" s="18" t="n"/>
      <c r="AD201" s="84" t="n"/>
      <c r="AE201" s="18" t="n"/>
      <c r="AF201" s="84" t="n"/>
      <c r="AG201" s="18" t="n"/>
      <c r="AH201" s="84" t="n"/>
      <c r="AI201" s="22" t="n"/>
      <c r="AJ201" s="84" t="n"/>
      <c r="AK201" s="22" t="n"/>
      <c r="AL201" s="84" t="n"/>
      <c r="AM201" s="22" t="n"/>
      <c r="AN201" s="22" t="n"/>
      <c r="AO201" s="84" t="n"/>
      <c r="AP201" s="84" t="n"/>
      <c r="AQ201" s="85" t="n"/>
      <c r="AR201" s="22" t="n"/>
      <c r="AS201" s="22" t="n"/>
      <c r="AT201" s="22" t="n"/>
      <c r="AU201" s="22" t="n"/>
      <c r="AV201" s="22" t="n"/>
      <c r="AW201" s="22" t="n"/>
      <c r="AX201" s="84" t="n"/>
      <c r="AY201" s="84" t="n"/>
      <c r="AZ201" s="84" t="n"/>
      <c r="BA201" s="84" t="n"/>
      <c r="BB201" s="22" t="n"/>
      <c r="BC201" s="22" t="n"/>
      <c r="BD201" s="85" t="n"/>
      <c r="BE201" s="85" t="n"/>
      <c r="BF201" s="85" t="n"/>
    </row>
    <row r="202">
      <c r="A202" s="83" t="n"/>
      <c r="B202" s="18" t="n"/>
      <c r="C202" s="24" t="n"/>
      <c r="D202" s="18" t="n"/>
      <c r="E202" s="18" t="n"/>
      <c r="F202" s="18" t="n"/>
      <c r="G202" s="84" t="n"/>
      <c r="H202" s="18" t="n"/>
      <c r="I202" s="85" t="n"/>
      <c r="J202" s="18" t="n"/>
      <c r="K202" s="18" t="n"/>
      <c r="L202" s="84" t="n"/>
      <c r="M202" s="18" t="n"/>
      <c r="N202" s="18" t="n"/>
      <c r="O202" s="18" t="n"/>
      <c r="P202" s="84" t="n"/>
      <c r="Q202" s="18" t="n"/>
      <c r="R202" s="18" t="n"/>
      <c r="S202" s="18" t="n"/>
      <c r="T202" s="84" t="n"/>
      <c r="U202" s="18" t="n"/>
      <c r="V202" s="84" t="n"/>
      <c r="W202" s="18" t="n"/>
      <c r="X202" s="84" t="n"/>
      <c r="Y202" s="18" t="n"/>
      <c r="Z202" s="86" t="n"/>
      <c r="AA202" s="18" t="n"/>
      <c r="AB202" s="84" t="n"/>
      <c r="AC202" s="18" t="n"/>
      <c r="AD202" s="84" t="n"/>
      <c r="AE202" s="18" t="n"/>
      <c r="AF202" s="84" t="n"/>
      <c r="AG202" s="18" t="n"/>
      <c r="AH202" s="84" t="n"/>
      <c r="AI202" s="22" t="n"/>
      <c r="AJ202" s="84" t="n"/>
      <c r="AK202" s="22" t="n"/>
      <c r="AL202" s="84" t="n"/>
      <c r="AM202" s="22" t="n"/>
      <c r="AN202" s="22" t="n"/>
      <c r="AO202" s="84" t="n"/>
      <c r="AP202" s="84" t="n"/>
      <c r="AQ202" s="85" t="n"/>
      <c r="AR202" s="22" t="n"/>
      <c r="AS202" s="22" t="n"/>
      <c r="AT202" s="22" t="n"/>
      <c r="AU202" s="22" t="n"/>
      <c r="AV202" s="22" t="n"/>
      <c r="AW202" s="22" t="n"/>
      <c r="AX202" s="84" t="n"/>
      <c r="AY202" s="84" t="n"/>
      <c r="AZ202" s="84" t="n"/>
      <c r="BA202" s="84" t="n"/>
      <c r="BB202" s="22" t="n"/>
      <c r="BC202" s="22" t="n"/>
      <c r="BD202" s="85" t="n"/>
      <c r="BE202" s="85" t="n"/>
      <c r="BF202" s="85" t="n"/>
    </row>
    <row r="203">
      <c r="A203" s="83" t="n"/>
      <c r="B203" s="18" t="n"/>
      <c r="C203" s="24" t="n"/>
      <c r="D203" s="18" t="n"/>
      <c r="E203" s="18" t="n"/>
      <c r="F203" s="18" t="n"/>
      <c r="G203" s="84" t="n"/>
      <c r="H203" s="18" t="n"/>
      <c r="I203" s="85" t="n"/>
      <c r="J203" s="18" t="n"/>
      <c r="K203" s="18" t="n"/>
      <c r="L203" s="84" t="n"/>
      <c r="M203" s="18" t="n"/>
      <c r="N203" s="18" t="n"/>
      <c r="O203" s="18" t="n"/>
      <c r="P203" s="84" t="n"/>
      <c r="Q203" s="18" t="n"/>
      <c r="R203" s="18" t="n"/>
      <c r="S203" s="18" t="n"/>
      <c r="T203" s="84" t="n"/>
      <c r="U203" s="18" t="n"/>
      <c r="V203" s="84" t="n"/>
      <c r="W203" s="18" t="n"/>
      <c r="X203" s="84" t="n"/>
      <c r="Y203" s="18" t="n"/>
      <c r="Z203" s="86" t="n"/>
      <c r="AA203" s="18" t="n"/>
      <c r="AB203" s="84" t="n"/>
      <c r="AC203" s="18" t="n"/>
      <c r="AD203" s="84" t="n"/>
      <c r="AE203" s="18" t="n"/>
      <c r="AF203" s="84" t="n"/>
      <c r="AG203" s="18" t="n"/>
      <c r="AH203" s="84" t="n"/>
      <c r="AI203" s="22" t="n"/>
      <c r="AJ203" s="84" t="n"/>
      <c r="AK203" s="22" t="n"/>
      <c r="AL203" s="84" t="n"/>
      <c r="AM203" s="22" t="n"/>
      <c r="AN203" s="22" t="n"/>
      <c r="AO203" s="84" t="n"/>
      <c r="AP203" s="84" t="n"/>
      <c r="AQ203" s="85" t="n"/>
      <c r="AR203" s="22" t="n"/>
      <c r="AS203" s="22" t="n"/>
      <c r="AT203" s="22" t="n"/>
      <c r="AU203" s="22" t="n"/>
      <c r="AV203" s="22" t="n"/>
      <c r="AW203" s="22" t="n"/>
      <c r="AX203" s="84" t="n"/>
      <c r="AY203" s="84" t="n"/>
      <c r="AZ203" s="84" t="n"/>
      <c r="BA203" s="84" t="n"/>
      <c r="BB203" s="22" t="n"/>
      <c r="BC203" s="22" t="n"/>
      <c r="BD203" s="85" t="n"/>
      <c r="BE203" s="85" t="n"/>
      <c r="BF203" s="85" t="n"/>
    </row>
    <row r="204">
      <c r="A204" s="83" t="n"/>
      <c r="B204" s="18" t="n"/>
      <c r="C204" s="24" t="n"/>
      <c r="D204" s="18" t="n"/>
      <c r="E204" s="18" t="n"/>
      <c r="F204" s="18" t="n"/>
      <c r="G204" s="84" t="n"/>
      <c r="H204" s="18" t="n"/>
      <c r="I204" s="85" t="n"/>
      <c r="J204" s="18" t="n"/>
      <c r="K204" s="18" t="n"/>
      <c r="L204" s="84" t="n"/>
      <c r="M204" s="18" t="n"/>
      <c r="N204" s="18" t="n"/>
      <c r="O204" s="18" t="n"/>
      <c r="P204" s="84" t="n"/>
      <c r="Q204" s="18" t="n"/>
      <c r="R204" s="18" t="n"/>
      <c r="S204" s="18" t="n"/>
      <c r="T204" s="84" t="n"/>
      <c r="U204" s="18" t="n"/>
      <c r="V204" s="84" t="n"/>
      <c r="W204" s="18" t="n"/>
      <c r="X204" s="84" t="n"/>
      <c r="Y204" s="18" t="n"/>
      <c r="Z204" s="86" t="n"/>
      <c r="AA204" s="18" t="n"/>
      <c r="AB204" s="84" t="n"/>
      <c r="AC204" s="18" t="n"/>
      <c r="AD204" s="84" t="n"/>
      <c r="AE204" s="18" t="n"/>
      <c r="AF204" s="84" t="n"/>
      <c r="AG204" s="18" t="n"/>
      <c r="AH204" s="84" t="n"/>
      <c r="AI204" s="22" t="n"/>
      <c r="AJ204" s="84" t="n"/>
      <c r="AK204" s="22" t="n"/>
      <c r="AL204" s="84" t="n"/>
      <c r="AM204" s="22" t="n"/>
      <c r="AN204" s="22" t="n"/>
      <c r="AO204" s="84" t="n"/>
      <c r="AP204" s="84" t="n"/>
      <c r="AQ204" s="85" t="n"/>
      <c r="AR204" s="22" t="n"/>
      <c r="AS204" s="22" t="n"/>
      <c r="AT204" s="22" t="n"/>
      <c r="AU204" s="22" t="n"/>
      <c r="AV204" s="22" t="n"/>
      <c r="AW204" s="22" t="n"/>
      <c r="AX204" s="84" t="n"/>
      <c r="AY204" s="84" t="n"/>
      <c r="AZ204" s="84" t="n"/>
      <c r="BA204" s="84" t="n"/>
      <c r="BB204" s="22" t="n"/>
      <c r="BC204" s="22" t="n"/>
      <c r="BD204" s="85" t="n"/>
      <c r="BE204" s="85" t="n"/>
      <c r="BF204" s="85" t="n"/>
    </row>
    <row r="205">
      <c r="A205" s="83" t="n"/>
      <c r="B205" s="18" t="n"/>
      <c r="C205" s="24" t="n"/>
      <c r="D205" s="18" t="n"/>
      <c r="E205" s="18" t="n"/>
      <c r="F205" s="18" t="n"/>
      <c r="G205" s="84" t="n"/>
      <c r="H205" s="18" t="n"/>
      <c r="I205" s="85" t="n"/>
      <c r="J205" s="18" t="n"/>
      <c r="K205" s="18" t="n"/>
      <c r="L205" s="84" t="n"/>
      <c r="M205" s="18" t="n"/>
      <c r="N205" s="18" t="n"/>
      <c r="O205" s="18" t="n"/>
      <c r="P205" s="84" t="n"/>
      <c r="Q205" s="18" t="n"/>
      <c r="R205" s="18" t="n"/>
      <c r="S205" s="18" t="n"/>
      <c r="T205" s="84" t="n"/>
      <c r="U205" s="18" t="n"/>
      <c r="V205" s="84" t="n"/>
      <c r="W205" s="18" t="n"/>
      <c r="X205" s="84" t="n"/>
      <c r="Y205" s="18" t="n"/>
      <c r="Z205" s="86" t="n"/>
      <c r="AA205" s="18" t="n"/>
      <c r="AB205" s="84" t="n"/>
      <c r="AC205" s="18" t="n"/>
      <c r="AD205" s="84" t="n"/>
      <c r="AE205" s="18" t="n"/>
      <c r="AF205" s="84" t="n"/>
      <c r="AG205" s="18" t="n"/>
      <c r="AH205" s="84" t="n"/>
      <c r="AI205" s="22" t="n"/>
      <c r="AJ205" s="84" t="n"/>
      <c r="AK205" s="22" t="n"/>
      <c r="AL205" s="84" t="n"/>
      <c r="AM205" s="22" t="n"/>
      <c r="AN205" s="22" t="n"/>
      <c r="AO205" s="84" t="n"/>
      <c r="AP205" s="84" t="n"/>
      <c r="AQ205" s="85" t="n"/>
      <c r="AR205" s="22" t="n"/>
      <c r="AS205" s="22" t="n"/>
      <c r="AT205" s="22" t="n"/>
      <c r="AU205" s="22" t="n"/>
      <c r="AV205" s="22" t="n"/>
      <c r="AW205" s="22" t="n"/>
      <c r="AX205" s="84" t="n"/>
      <c r="AY205" s="84" t="n"/>
      <c r="AZ205" s="84" t="n"/>
      <c r="BA205" s="84" t="n"/>
      <c r="BB205" s="22" t="n"/>
      <c r="BC205" s="22" t="n"/>
      <c r="BD205" s="85" t="n"/>
      <c r="BE205" s="85" t="n"/>
      <c r="BF205" s="85" t="n"/>
    </row>
    <row r="206">
      <c r="A206" s="83" t="n"/>
      <c r="B206" s="18" t="n"/>
      <c r="C206" s="24" t="n"/>
      <c r="D206" s="18" t="n"/>
      <c r="E206" s="18" t="n"/>
      <c r="F206" s="18" t="n"/>
      <c r="G206" s="84" t="n"/>
      <c r="H206" s="18" t="n"/>
      <c r="I206" s="85" t="n"/>
      <c r="J206" s="18" t="n"/>
      <c r="K206" s="18" t="n"/>
      <c r="L206" s="84" t="n"/>
      <c r="M206" s="18" t="n"/>
      <c r="N206" s="18" t="n"/>
      <c r="O206" s="18" t="n"/>
      <c r="P206" s="84" t="n"/>
      <c r="Q206" s="18" t="n"/>
      <c r="R206" s="18" t="n"/>
      <c r="S206" s="18" t="n"/>
      <c r="T206" s="84" t="n"/>
      <c r="U206" s="18" t="n"/>
      <c r="V206" s="84" t="n"/>
      <c r="W206" s="18" t="n"/>
      <c r="X206" s="84" t="n"/>
      <c r="Y206" s="18" t="n"/>
      <c r="Z206" s="86" t="n"/>
      <c r="AA206" s="18" t="n"/>
      <c r="AB206" s="84" t="n"/>
      <c r="AC206" s="18" t="n"/>
      <c r="AD206" s="84" t="n"/>
      <c r="AE206" s="18" t="n"/>
      <c r="AF206" s="84" t="n"/>
      <c r="AG206" s="18" t="n"/>
      <c r="AH206" s="84" t="n"/>
      <c r="AI206" s="22" t="n"/>
      <c r="AJ206" s="84" t="n"/>
      <c r="AK206" s="22" t="n"/>
      <c r="AL206" s="84" t="n"/>
      <c r="AM206" s="22" t="n"/>
      <c r="AN206" s="22" t="n"/>
      <c r="AO206" s="84" t="n"/>
      <c r="AP206" s="84" t="n"/>
      <c r="AQ206" s="85" t="n"/>
      <c r="AR206" s="22" t="n"/>
      <c r="AS206" s="22" t="n"/>
      <c r="AT206" s="22" t="n"/>
      <c r="AU206" s="22" t="n"/>
      <c r="AV206" s="22" t="n"/>
      <c r="AW206" s="22" t="n"/>
      <c r="AX206" s="84" t="n"/>
      <c r="AY206" s="84" t="n"/>
      <c r="AZ206" s="84" t="n"/>
      <c r="BA206" s="84" t="n"/>
      <c r="BB206" s="22" t="n"/>
      <c r="BC206" s="22" t="n"/>
      <c r="BD206" s="85" t="n"/>
      <c r="BE206" s="85" t="n"/>
      <c r="BF206" s="85" t="n"/>
    </row>
    <row r="207">
      <c r="A207" s="83" t="n"/>
      <c r="B207" s="18" t="n"/>
      <c r="C207" s="24" t="n"/>
      <c r="D207" s="18" t="n"/>
      <c r="E207" s="18" t="n"/>
      <c r="F207" s="18" t="n"/>
      <c r="G207" s="84" t="n"/>
      <c r="H207" s="18" t="n"/>
      <c r="I207" s="85" t="n"/>
      <c r="J207" s="18" t="n"/>
      <c r="K207" s="18" t="n"/>
      <c r="L207" s="84" t="n"/>
      <c r="M207" s="18" t="n"/>
      <c r="N207" s="18" t="n"/>
      <c r="O207" s="18" t="n"/>
      <c r="P207" s="84" t="n"/>
      <c r="Q207" s="18" t="n"/>
      <c r="R207" s="18" t="n"/>
      <c r="S207" s="18" t="n"/>
      <c r="T207" s="84" t="n"/>
      <c r="U207" s="18" t="n"/>
      <c r="V207" s="84" t="n"/>
      <c r="W207" s="18" t="n"/>
      <c r="X207" s="84" t="n"/>
      <c r="Y207" s="18" t="n"/>
      <c r="Z207" s="86" t="n"/>
      <c r="AA207" s="18" t="n"/>
      <c r="AB207" s="84" t="n"/>
      <c r="AC207" s="18" t="n"/>
      <c r="AD207" s="84" t="n"/>
      <c r="AE207" s="18" t="n"/>
      <c r="AF207" s="84" t="n"/>
      <c r="AG207" s="18" t="n"/>
      <c r="AH207" s="84" t="n"/>
      <c r="AI207" s="22" t="n"/>
      <c r="AJ207" s="84" t="n"/>
      <c r="AK207" s="22" t="n"/>
      <c r="AL207" s="84" t="n"/>
      <c r="AM207" s="22" t="n"/>
      <c r="AN207" s="22" t="n"/>
      <c r="AO207" s="84" t="n"/>
      <c r="AP207" s="84" t="n"/>
      <c r="AQ207" s="85" t="n"/>
      <c r="AR207" s="22" t="n"/>
      <c r="AS207" s="22" t="n"/>
      <c r="AT207" s="22" t="n"/>
      <c r="AU207" s="22" t="n"/>
      <c r="AV207" s="22" t="n"/>
      <c r="AW207" s="22" t="n"/>
      <c r="AX207" s="84" t="n"/>
      <c r="AY207" s="84" t="n"/>
      <c r="AZ207" s="84" t="n"/>
      <c r="BA207" s="84" t="n"/>
      <c r="BB207" s="22" t="n"/>
      <c r="BC207" s="22" t="n"/>
      <c r="BD207" s="85" t="n"/>
      <c r="BE207" s="85" t="n"/>
      <c r="BF207" s="85" t="n"/>
    </row>
    <row r="208">
      <c r="A208" s="83" t="n"/>
      <c r="B208" s="18" t="n"/>
      <c r="C208" s="24" t="n"/>
      <c r="D208" s="18" t="n"/>
      <c r="E208" s="18" t="n"/>
      <c r="F208" s="18" t="n"/>
      <c r="G208" s="84" t="n"/>
      <c r="H208" s="18" t="n"/>
      <c r="I208" s="85" t="n"/>
      <c r="J208" s="18" t="n"/>
      <c r="K208" s="18" t="n"/>
      <c r="L208" s="84" t="n"/>
      <c r="M208" s="18" t="n"/>
      <c r="N208" s="18" t="n"/>
      <c r="O208" s="18" t="n"/>
      <c r="P208" s="84" t="n"/>
      <c r="Q208" s="18" t="n"/>
      <c r="R208" s="18" t="n"/>
      <c r="S208" s="18" t="n"/>
      <c r="T208" s="84" t="n"/>
      <c r="U208" s="18" t="n"/>
      <c r="V208" s="84" t="n"/>
      <c r="W208" s="18" t="n"/>
      <c r="X208" s="84" t="n"/>
      <c r="Y208" s="18" t="n"/>
      <c r="Z208" s="86" t="n"/>
      <c r="AA208" s="18" t="n"/>
      <c r="AB208" s="84" t="n"/>
      <c r="AC208" s="18" t="n"/>
      <c r="AD208" s="84" t="n"/>
      <c r="AE208" s="18" t="n"/>
      <c r="AF208" s="84" t="n"/>
      <c r="AG208" s="18" t="n"/>
      <c r="AH208" s="84" t="n"/>
      <c r="AI208" s="22" t="n"/>
      <c r="AJ208" s="84" t="n"/>
      <c r="AK208" s="22" t="n"/>
      <c r="AL208" s="84" t="n"/>
      <c r="AM208" s="22" t="n"/>
      <c r="AN208" s="22" t="n"/>
      <c r="AO208" s="84" t="n"/>
      <c r="AP208" s="84" t="n"/>
      <c r="AQ208" s="85" t="n"/>
      <c r="AR208" s="22" t="n"/>
      <c r="AS208" s="22" t="n"/>
      <c r="AT208" s="22" t="n"/>
      <c r="AU208" s="22" t="n"/>
      <c r="AV208" s="22" t="n"/>
      <c r="AW208" s="22" t="n"/>
      <c r="AX208" s="84" t="n"/>
      <c r="AY208" s="84" t="n"/>
      <c r="AZ208" s="84" t="n"/>
      <c r="BA208" s="84" t="n"/>
      <c r="BB208" s="22" t="n"/>
      <c r="BC208" s="22" t="n"/>
      <c r="BD208" s="85" t="n"/>
      <c r="BE208" s="85" t="n"/>
      <c r="BF208" s="85" t="n"/>
    </row>
    <row r="209">
      <c r="A209" s="83" t="n"/>
      <c r="B209" s="18" t="n"/>
      <c r="C209" s="24" t="n"/>
      <c r="D209" s="18" t="n"/>
      <c r="E209" s="18" t="n"/>
      <c r="F209" s="18" t="n"/>
      <c r="G209" s="84" t="n"/>
      <c r="H209" s="18" t="n"/>
      <c r="I209" s="85" t="n"/>
      <c r="J209" s="18" t="n"/>
      <c r="K209" s="18" t="n"/>
      <c r="L209" s="84" t="n"/>
      <c r="M209" s="18" t="n"/>
      <c r="N209" s="18" t="n"/>
      <c r="O209" s="18" t="n"/>
      <c r="P209" s="84" t="n"/>
      <c r="Q209" s="18" t="n"/>
      <c r="R209" s="18" t="n"/>
      <c r="S209" s="18" t="n"/>
      <c r="T209" s="84" t="n"/>
      <c r="U209" s="18" t="n"/>
      <c r="V209" s="84" t="n"/>
      <c r="W209" s="18" t="n"/>
      <c r="X209" s="84" t="n"/>
      <c r="Y209" s="18" t="n"/>
      <c r="Z209" s="86" t="n"/>
      <c r="AA209" s="18" t="n"/>
      <c r="AB209" s="84" t="n"/>
      <c r="AC209" s="18" t="n"/>
      <c r="AD209" s="84" t="n"/>
      <c r="AE209" s="18" t="n"/>
      <c r="AF209" s="84" t="n"/>
      <c r="AG209" s="18" t="n"/>
      <c r="AH209" s="84" t="n"/>
      <c r="AI209" s="22" t="n"/>
      <c r="AJ209" s="84" t="n"/>
      <c r="AK209" s="22" t="n"/>
      <c r="AL209" s="84" t="n"/>
      <c r="AM209" s="22" t="n"/>
      <c r="AN209" s="22" t="n"/>
      <c r="AO209" s="84" t="n"/>
      <c r="AP209" s="84" t="n"/>
      <c r="AQ209" s="85" t="n"/>
      <c r="AR209" s="22" t="n"/>
      <c r="AS209" s="22" t="n"/>
      <c r="AT209" s="22" t="n"/>
      <c r="AU209" s="22" t="n"/>
      <c r="AV209" s="22" t="n"/>
      <c r="AW209" s="22" t="n"/>
      <c r="AX209" s="84" t="n"/>
      <c r="AY209" s="84" t="n"/>
      <c r="AZ209" s="84" t="n"/>
      <c r="BA209" s="84" t="n"/>
      <c r="BB209" s="22" t="n"/>
      <c r="BC209" s="22" t="n"/>
      <c r="BD209" s="85" t="n"/>
      <c r="BE209" s="85" t="n"/>
      <c r="BF209" s="85" t="n"/>
    </row>
    <row r="210">
      <c r="A210" s="83" t="n"/>
      <c r="B210" s="18" t="n"/>
      <c r="C210" s="24" t="n"/>
      <c r="D210" s="18" t="n"/>
      <c r="E210" s="18" t="n"/>
      <c r="F210" s="18" t="n"/>
      <c r="G210" s="84" t="n"/>
      <c r="H210" s="18" t="n"/>
      <c r="I210" s="85" t="n"/>
      <c r="J210" s="18" t="n"/>
      <c r="K210" s="18" t="n"/>
      <c r="L210" s="84" t="n"/>
      <c r="M210" s="18" t="n"/>
      <c r="N210" s="18" t="n"/>
      <c r="O210" s="18" t="n"/>
      <c r="P210" s="84" t="n"/>
      <c r="Q210" s="18" t="n"/>
      <c r="R210" s="18" t="n"/>
      <c r="S210" s="18" t="n"/>
      <c r="T210" s="84" t="n"/>
      <c r="U210" s="18" t="n"/>
      <c r="V210" s="84" t="n"/>
      <c r="W210" s="18" t="n"/>
      <c r="X210" s="84" t="n"/>
      <c r="Y210" s="18" t="n"/>
      <c r="Z210" s="86" t="n"/>
      <c r="AA210" s="18" t="n"/>
      <c r="AB210" s="84" t="n"/>
      <c r="AC210" s="18" t="n"/>
      <c r="AD210" s="84" t="n"/>
      <c r="AE210" s="18" t="n"/>
      <c r="AF210" s="84" t="n"/>
      <c r="AG210" s="18" t="n"/>
      <c r="AH210" s="84" t="n"/>
      <c r="AI210" s="22" t="n"/>
      <c r="AJ210" s="84" t="n"/>
      <c r="AK210" s="22" t="n"/>
      <c r="AL210" s="84" t="n"/>
      <c r="AM210" s="22" t="n"/>
      <c r="AN210" s="22" t="n"/>
      <c r="AO210" s="84" t="n"/>
      <c r="AP210" s="84" t="n"/>
      <c r="AQ210" s="85" t="n"/>
      <c r="AR210" s="22" t="n"/>
      <c r="AS210" s="22" t="n"/>
      <c r="AT210" s="22" t="n"/>
      <c r="AU210" s="22" t="n"/>
      <c r="AV210" s="22" t="n"/>
      <c r="AW210" s="22" t="n"/>
      <c r="AX210" s="84" t="n"/>
      <c r="AY210" s="84" t="n"/>
      <c r="AZ210" s="84" t="n"/>
      <c r="BA210" s="84" t="n"/>
      <c r="BB210" s="22" t="n"/>
      <c r="BC210" s="22" t="n"/>
      <c r="BD210" s="85" t="n"/>
      <c r="BE210" s="85" t="n"/>
      <c r="BF210" s="85" t="n"/>
    </row>
    <row r="211">
      <c r="A211" s="83" t="n"/>
      <c r="B211" s="18" t="n"/>
      <c r="C211" s="24" t="n"/>
      <c r="D211" s="18" t="n"/>
      <c r="E211" s="18" t="n"/>
      <c r="F211" s="18" t="n"/>
      <c r="G211" s="84" t="n"/>
      <c r="H211" s="18" t="n"/>
      <c r="I211" s="85" t="n"/>
      <c r="J211" s="18" t="n"/>
      <c r="K211" s="18" t="n"/>
      <c r="L211" s="84" t="n"/>
      <c r="M211" s="18" t="n"/>
      <c r="N211" s="18" t="n"/>
      <c r="O211" s="18" t="n"/>
      <c r="P211" s="84" t="n"/>
      <c r="Q211" s="18" t="n"/>
      <c r="R211" s="18" t="n"/>
      <c r="S211" s="18" t="n"/>
      <c r="T211" s="84" t="n"/>
      <c r="U211" s="18" t="n"/>
      <c r="V211" s="84" t="n"/>
      <c r="W211" s="18" t="n"/>
      <c r="X211" s="84" t="n"/>
      <c r="Y211" s="18" t="n"/>
      <c r="Z211" s="86" t="n"/>
      <c r="AA211" s="18" t="n"/>
      <c r="AB211" s="84" t="n"/>
      <c r="AC211" s="18" t="n"/>
      <c r="AD211" s="84" t="n"/>
      <c r="AE211" s="18" t="n"/>
      <c r="AF211" s="84" t="n"/>
      <c r="AG211" s="18" t="n"/>
      <c r="AH211" s="84" t="n"/>
      <c r="AI211" s="22" t="n"/>
      <c r="AJ211" s="84" t="n"/>
      <c r="AK211" s="22" t="n"/>
      <c r="AL211" s="84" t="n"/>
      <c r="AM211" s="22" t="n"/>
      <c r="AN211" s="22" t="n"/>
      <c r="AO211" s="84" t="n"/>
      <c r="AP211" s="84" t="n"/>
      <c r="AQ211" s="85" t="n"/>
      <c r="AR211" s="22" t="n"/>
      <c r="AS211" s="22" t="n"/>
      <c r="AT211" s="22" t="n"/>
      <c r="AU211" s="22" t="n"/>
      <c r="AV211" s="22" t="n"/>
      <c r="AW211" s="22" t="n"/>
      <c r="AX211" s="84" t="n"/>
      <c r="AY211" s="84" t="n"/>
      <c r="AZ211" s="84" t="n"/>
      <c r="BA211" s="84" t="n"/>
      <c r="BB211" s="22" t="n"/>
      <c r="BC211" s="22" t="n"/>
      <c r="BD211" s="85" t="n"/>
      <c r="BE211" s="85" t="n"/>
      <c r="BF211" s="85" t="n"/>
    </row>
    <row r="212">
      <c r="A212" s="83" t="n"/>
      <c r="B212" s="18" t="n"/>
      <c r="C212" s="24" t="n"/>
      <c r="D212" s="18" t="n"/>
      <c r="E212" s="18" t="n"/>
      <c r="F212" s="18" t="n"/>
      <c r="G212" s="84" t="n"/>
      <c r="H212" s="18" t="n"/>
      <c r="I212" s="85" t="n"/>
      <c r="J212" s="18" t="n"/>
      <c r="K212" s="18" t="n"/>
      <c r="L212" s="84" t="n"/>
      <c r="M212" s="18" t="n"/>
      <c r="N212" s="18" t="n"/>
      <c r="O212" s="18" t="n"/>
      <c r="P212" s="84" t="n"/>
      <c r="Q212" s="18" t="n"/>
      <c r="R212" s="18" t="n"/>
      <c r="S212" s="18" t="n"/>
      <c r="T212" s="84" t="n"/>
      <c r="U212" s="18" t="n"/>
      <c r="V212" s="84" t="n"/>
      <c r="W212" s="18" t="n"/>
      <c r="X212" s="84" t="n"/>
      <c r="Y212" s="18" t="n"/>
      <c r="Z212" s="86" t="n"/>
      <c r="AA212" s="18" t="n"/>
      <c r="AB212" s="84" t="n"/>
      <c r="AC212" s="18" t="n"/>
      <c r="AD212" s="84" t="n"/>
      <c r="AE212" s="18" t="n"/>
      <c r="AF212" s="84" t="n"/>
      <c r="AG212" s="18" t="n"/>
      <c r="AH212" s="84" t="n"/>
      <c r="AI212" s="22" t="n"/>
      <c r="AJ212" s="84" t="n"/>
      <c r="AK212" s="22" t="n"/>
      <c r="AL212" s="84" t="n"/>
      <c r="AM212" s="22" t="n"/>
      <c r="AN212" s="22" t="n"/>
      <c r="AO212" s="84" t="n"/>
      <c r="AP212" s="84" t="n"/>
      <c r="AQ212" s="85" t="n"/>
      <c r="AR212" s="22" t="n"/>
      <c r="AS212" s="22" t="n"/>
      <c r="AT212" s="22" t="n"/>
      <c r="AU212" s="22" t="n"/>
      <c r="AV212" s="22" t="n"/>
      <c r="AW212" s="22" t="n"/>
      <c r="AX212" s="84" t="n"/>
      <c r="AY212" s="84" t="n"/>
      <c r="AZ212" s="84" t="n"/>
      <c r="BA212" s="84" t="n"/>
      <c r="BB212" s="22" t="n"/>
      <c r="BC212" s="22" t="n"/>
      <c r="BD212" s="85" t="n"/>
      <c r="BE212" s="85" t="n"/>
      <c r="BF212" s="85" t="n"/>
    </row>
    <row r="213">
      <c r="A213" s="83" t="n"/>
      <c r="B213" s="18" t="n"/>
      <c r="C213" s="24" t="n"/>
      <c r="D213" s="18" t="n"/>
      <c r="E213" s="18" t="n"/>
      <c r="F213" s="18" t="n"/>
      <c r="G213" s="84" t="n"/>
      <c r="H213" s="18" t="n"/>
      <c r="I213" s="85" t="n"/>
      <c r="J213" s="18" t="n"/>
      <c r="K213" s="18" t="n"/>
      <c r="L213" s="84" t="n"/>
      <c r="M213" s="18" t="n"/>
      <c r="N213" s="18" t="n"/>
      <c r="O213" s="18" t="n"/>
      <c r="P213" s="84" t="n"/>
      <c r="Q213" s="18" t="n"/>
      <c r="R213" s="18" t="n"/>
      <c r="S213" s="18" t="n"/>
      <c r="T213" s="84" t="n"/>
      <c r="U213" s="18" t="n"/>
      <c r="V213" s="84" t="n"/>
      <c r="W213" s="18" t="n"/>
      <c r="X213" s="84" t="n"/>
      <c r="Y213" s="18" t="n"/>
      <c r="Z213" s="86" t="n"/>
      <c r="AA213" s="18" t="n"/>
      <c r="AB213" s="84" t="n"/>
      <c r="AC213" s="18" t="n"/>
      <c r="AD213" s="84" t="n"/>
      <c r="AE213" s="18" t="n"/>
      <c r="AF213" s="84" t="n"/>
      <c r="AG213" s="18" t="n"/>
      <c r="AH213" s="84" t="n"/>
      <c r="AI213" s="22" t="n"/>
      <c r="AJ213" s="84" t="n"/>
      <c r="AK213" s="22" t="n"/>
      <c r="AL213" s="84" t="n"/>
      <c r="AM213" s="22" t="n"/>
      <c r="AN213" s="22" t="n"/>
      <c r="AO213" s="84" t="n"/>
      <c r="AP213" s="84" t="n"/>
      <c r="AQ213" s="85" t="n"/>
      <c r="AR213" s="22" t="n"/>
      <c r="AS213" s="22" t="n"/>
      <c r="AT213" s="22" t="n"/>
      <c r="AU213" s="22" t="n"/>
      <c r="AV213" s="22" t="n"/>
      <c r="AW213" s="22" t="n"/>
      <c r="AX213" s="84" t="n"/>
      <c r="AY213" s="84" t="n"/>
      <c r="AZ213" s="84" t="n"/>
      <c r="BA213" s="84" t="n"/>
      <c r="BB213" s="22" t="n"/>
      <c r="BC213" s="22" t="n"/>
      <c r="BD213" s="85" t="n"/>
      <c r="BE213" s="85" t="n"/>
      <c r="BF213" s="85" t="n"/>
    </row>
    <row r="214">
      <c r="A214" s="83" t="n"/>
      <c r="B214" s="18" t="n"/>
      <c r="C214" s="24" t="n"/>
      <c r="D214" s="18" t="n"/>
      <c r="E214" s="18" t="n"/>
      <c r="F214" s="18" t="n"/>
      <c r="G214" s="84" t="n"/>
      <c r="H214" s="18" t="n"/>
      <c r="I214" s="85" t="n"/>
      <c r="J214" s="18" t="n"/>
      <c r="K214" s="18" t="n"/>
      <c r="L214" s="84" t="n"/>
      <c r="M214" s="18" t="n"/>
      <c r="N214" s="18" t="n"/>
      <c r="O214" s="18" t="n"/>
      <c r="P214" s="84" t="n"/>
      <c r="Q214" s="18" t="n"/>
      <c r="R214" s="18" t="n"/>
      <c r="S214" s="18" t="n"/>
      <c r="T214" s="84" t="n"/>
      <c r="U214" s="18" t="n"/>
      <c r="V214" s="84" t="n"/>
      <c r="W214" s="18" t="n"/>
      <c r="X214" s="84" t="n"/>
      <c r="Y214" s="18" t="n"/>
      <c r="Z214" s="86" t="n"/>
      <c r="AA214" s="18" t="n"/>
      <c r="AB214" s="84" t="n"/>
      <c r="AC214" s="18" t="n"/>
      <c r="AD214" s="84" t="n"/>
      <c r="AE214" s="18" t="n"/>
      <c r="AF214" s="84" t="n"/>
      <c r="AG214" s="18" t="n"/>
      <c r="AH214" s="84" t="n"/>
      <c r="AI214" s="22" t="n"/>
      <c r="AJ214" s="84" t="n"/>
      <c r="AK214" s="22" t="n"/>
      <c r="AL214" s="84" t="n"/>
      <c r="AM214" s="22" t="n"/>
      <c r="AN214" s="22" t="n"/>
      <c r="AO214" s="84" t="n"/>
      <c r="AP214" s="84" t="n"/>
      <c r="AQ214" s="85" t="n"/>
      <c r="AR214" s="22" t="n"/>
      <c r="AS214" s="22" t="n"/>
      <c r="AT214" s="22" t="n"/>
      <c r="AU214" s="22" t="n"/>
      <c r="AV214" s="22" t="n"/>
      <c r="AW214" s="22" t="n"/>
      <c r="AX214" s="84" t="n"/>
      <c r="AY214" s="84" t="n"/>
      <c r="AZ214" s="84" t="n"/>
      <c r="BA214" s="84" t="n"/>
      <c r="BB214" s="22" t="n"/>
      <c r="BC214" s="22" t="n"/>
      <c r="BD214" s="85" t="n"/>
      <c r="BE214" s="85" t="n"/>
      <c r="BF214" s="85" t="n"/>
    </row>
    <row r="215">
      <c r="A215" s="83" t="n"/>
      <c r="B215" s="18" t="n"/>
      <c r="C215" s="24" t="n"/>
      <c r="D215" s="18" t="n"/>
      <c r="E215" s="18" t="n"/>
      <c r="F215" s="18" t="n"/>
      <c r="G215" s="84" t="n"/>
      <c r="H215" s="18" t="n"/>
      <c r="I215" s="85" t="n"/>
      <c r="J215" s="18" t="n"/>
      <c r="K215" s="18" t="n"/>
      <c r="L215" s="84" t="n"/>
      <c r="M215" s="18" t="n"/>
      <c r="N215" s="18" t="n"/>
      <c r="O215" s="18" t="n"/>
      <c r="P215" s="84" t="n"/>
      <c r="Q215" s="18" t="n"/>
      <c r="R215" s="18" t="n"/>
      <c r="S215" s="18" t="n"/>
      <c r="T215" s="84" t="n"/>
      <c r="U215" s="18" t="n"/>
      <c r="V215" s="84" t="n"/>
      <c r="W215" s="18" t="n"/>
      <c r="X215" s="84" t="n"/>
      <c r="Y215" s="18" t="n"/>
      <c r="Z215" s="86" t="n"/>
      <c r="AA215" s="18" t="n"/>
      <c r="AB215" s="84" t="n"/>
      <c r="AC215" s="18" t="n"/>
      <c r="AD215" s="84" t="n"/>
      <c r="AE215" s="18" t="n"/>
      <c r="AF215" s="84" t="n"/>
      <c r="AG215" s="18" t="n"/>
      <c r="AH215" s="84" t="n"/>
      <c r="AI215" s="22" t="n"/>
      <c r="AJ215" s="84" t="n"/>
      <c r="AK215" s="22" t="n"/>
      <c r="AL215" s="84" t="n"/>
      <c r="AM215" s="22" t="n"/>
      <c r="AN215" s="22" t="n"/>
      <c r="AO215" s="84" t="n"/>
      <c r="AP215" s="84" t="n"/>
      <c r="AQ215" s="85" t="n"/>
      <c r="AR215" s="22" t="n"/>
      <c r="AS215" s="22" t="n"/>
      <c r="AT215" s="22" t="n"/>
      <c r="AU215" s="22" t="n"/>
      <c r="AV215" s="22" t="n"/>
      <c r="AW215" s="22" t="n"/>
      <c r="AX215" s="84" t="n"/>
      <c r="AY215" s="84" t="n"/>
      <c r="AZ215" s="84" t="n"/>
      <c r="BA215" s="84" t="n"/>
      <c r="BB215" s="22" t="n"/>
      <c r="BC215" s="22" t="n"/>
      <c r="BD215" s="85" t="n"/>
      <c r="BE215" s="85" t="n"/>
      <c r="BF215" s="85" t="n"/>
    </row>
    <row r="216">
      <c r="A216" s="83" t="n"/>
      <c r="B216" s="18" t="n"/>
      <c r="C216" s="24" t="n"/>
      <c r="D216" s="18" t="n"/>
      <c r="E216" s="18" t="n"/>
      <c r="F216" s="18" t="n"/>
      <c r="G216" s="84" t="n"/>
      <c r="H216" s="18" t="n"/>
      <c r="I216" s="85" t="n"/>
      <c r="J216" s="18" t="n"/>
      <c r="K216" s="18" t="n"/>
      <c r="L216" s="84" t="n"/>
      <c r="M216" s="18" t="n"/>
      <c r="N216" s="18" t="n"/>
      <c r="O216" s="18" t="n"/>
      <c r="P216" s="84" t="n"/>
      <c r="Q216" s="18" t="n"/>
      <c r="R216" s="18" t="n"/>
      <c r="S216" s="18" t="n"/>
      <c r="T216" s="84" t="n"/>
      <c r="U216" s="18" t="n"/>
      <c r="V216" s="84" t="n"/>
      <c r="W216" s="18" t="n"/>
      <c r="X216" s="84" t="n"/>
      <c r="Y216" s="18" t="n"/>
      <c r="Z216" s="86" t="n"/>
      <c r="AA216" s="18" t="n"/>
      <c r="AB216" s="84" t="n"/>
      <c r="AC216" s="18" t="n"/>
      <c r="AD216" s="84" t="n"/>
      <c r="AE216" s="18" t="n"/>
      <c r="AF216" s="84" t="n"/>
      <c r="AG216" s="18" t="n"/>
      <c r="AH216" s="84" t="n"/>
      <c r="AI216" s="22" t="n"/>
      <c r="AJ216" s="84" t="n"/>
      <c r="AK216" s="22" t="n"/>
      <c r="AL216" s="84" t="n"/>
      <c r="AM216" s="22" t="n"/>
      <c r="AN216" s="22" t="n"/>
      <c r="AO216" s="84" t="n"/>
      <c r="AP216" s="84" t="n"/>
      <c r="AQ216" s="85" t="n"/>
      <c r="AR216" s="22" t="n"/>
      <c r="AS216" s="22" t="n"/>
      <c r="AT216" s="22" t="n"/>
      <c r="AU216" s="22" t="n"/>
      <c r="AV216" s="22" t="n"/>
      <c r="AW216" s="22" t="n"/>
      <c r="AX216" s="84" t="n"/>
      <c r="AY216" s="84" t="n"/>
      <c r="AZ216" s="84" t="n"/>
      <c r="BA216" s="84" t="n"/>
      <c r="BB216" s="22" t="n"/>
      <c r="BC216" s="22" t="n"/>
      <c r="BD216" s="85" t="n"/>
      <c r="BE216" s="85" t="n"/>
      <c r="BF216" s="85" t="n"/>
    </row>
    <row r="217">
      <c r="A217" s="83" t="n"/>
      <c r="B217" s="18" t="n"/>
      <c r="C217" s="24" t="n"/>
      <c r="D217" s="18" t="n"/>
      <c r="E217" s="18" t="n"/>
      <c r="F217" s="18" t="n"/>
      <c r="G217" s="84" t="n"/>
      <c r="H217" s="18" t="n"/>
      <c r="I217" s="85" t="n"/>
      <c r="J217" s="18" t="n"/>
      <c r="K217" s="18" t="n"/>
      <c r="L217" s="84" t="n"/>
      <c r="M217" s="18" t="n"/>
      <c r="N217" s="18" t="n"/>
      <c r="O217" s="18" t="n"/>
      <c r="P217" s="84" t="n"/>
      <c r="Q217" s="18" t="n"/>
      <c r="R217" s="18" t="n"/>
      <c r="S217" s="18" t="n"/>
      <c r="T217" s="84" t="n"/>
      <c r="U217" s="18" t="n"/>
      <c r="V217" s="84" t="n"/>
      <c r="W217" s="18" t="n"/>
      <c r="X217" s="84" t="n"/>
      <c r="Y217" s="18" t="n"/>
      <c r="Z217" s="86" t="n"/>
      <c r="AA217" s="18" t="n"/>
      <c r="AB217" s="84" t="n"/>
      <c r="AC217" s="18" t="n"/>
      <c r="AD217" s="84" t="n"/>
      <c r="AE217" s="18" t="n"/>
      <c r="AF217" s="84" t="n"/>
      <c r="AG217" s="18" t="n"/>
      <c r="AH217" s="84" t="n"/>
      <c r="AI217" s="22" t="n"/>
      <c r="AJ217" s="84" t="n"/>
      <c r="AK217" s="22" t="n"/>
      <c r="AL217" s="84" t="n"/>
      <c r="AM217" s="22" t="n"/>
      <c r="AN217" s="22" t="n"/>
      <c r="AO217" s="84" t="n"/>
      <c r="AP217" s="84" t="n"/>
      <c r="AQ217" s="85" t="n"/>
      <c r="AR217" s="22" t="n"/>
      <c r="AS217" s="22" t="n"/>
      <c r="AT217" s="22" t="n"/>
      <c r="AU217" s="22" t="n"/>
      <c r="AV217" s="22" t="n"/>
      <c r="AW217" s="22" t="n"/>
      <c r="AX217" s="84" t="n"/>
      <c r="AY217" s="84" t="n"/>
      <c r="AZ217" s="84" t="n"/>
      <c r="BA217" s="84" t="n"/>
      <c r="BB217" s="22" t="n"/>
      <c r="BC217" s="22" t="n"/>
      <c r="BD217" s="85" t="n"/>
      <c r="BE217" s="85" t="n"/>
      <c r="BF217" s="85" t="n"/>
    </row>
    <row r="218">
      <c r="A218" s="83" t="n"/>
      <c r="B218" s="18" t="n"/>
      <c r="C218" s="24" t="n"/>
      <c r="D218" s="18" t="n"/>
      <c r="E218" s="18" t="n"/>
      <c r="F218" s="18" t="n"/>
      <c r="G218" s="84" t="n"/>
      <c r="H218" s="18" t="n"/>
      <c r="I218" s="85" t="n"/>
      <c r="J218" s="18" t="n"/>
      <c r="K218" s="18" t="n"/>
      <c r="L218" s="84" t="n"/>
      <c r="M218" s="18" t="n"/>
      <c r="N218" s="18" t="n"/>
      <c r="O218" s="18" t="n"/>
      <c r="P218" s="84" t="n"/>
      <c r="Q218" s="18" t="n"/>
      <c r="R218" s="18" t="n"/>
      <c r="S218" s="18" t="n"/>
      <c r="T218" s="84" t="n"/>
      <c r="U218" s="18" t="n"/>
      <c r="V218" s="84" t="n"/>
      <c r="W218" s="18" t="n"/>
      <c r="X218" s="84" t="n"/>
      <c r="Y218" s="18" t="n"/>
      <c r="Z218" s="86" t="n"/>
      <c r="AA218" s="18" t="n"/>
      <c r="AB218" s="84" t="n"/>
      <c r="AC218" s="18" t="n"/>
      <c r="AD218" s="84" t="n"/>
      <c r="AE218" s="18" t="n"/>
      <c r="AF218" s="84" t="n"/>
      <c r="AG218" s="18" t="n"/>
      <c r="AH218" s="84" t="n"/>
      <c r="AI218" s="22" t="n"/>
      <c r="AJ218" s="84" t="n"/>
      <c r="AK218" s="22" t="n"/>
      <c r="AL218" s="84" t="n"/>
      <c r="AM218" s="22" t="n"/>
      <c r="AN218" s="22" t="n"/>
      <c r="AO218" s="84" t="n"/>
      <c r="AP218" s="84" t="n"/>
      <c r="AQ218" s="85" t="n"/>
      <c r="AR218" s="22" t="n"/>
      <c r="AS218" s="22" t="n"/>
      <c r="AT218" s="22" t="n"/>
      <c r="AU218" s="22" t="n"/>
      <c r="AV218" s="22" t="n"/>
      <c r="AW218" s="22" t="n"/>
      <c r="AX218" s="84" t="n"/>
      <c r="AY218" s="84" t="n"/>
      <c r="AZ218" s="84" t="n"/>
      <c r="BA218" s="84" t="n"/>
      <c r="BB218" s="22" t="n"/>
      <c r="BC218" s="22" t="n"/>
      <c r="BD218" s="85" t="n"/>
      <c r="BE218" s="85" t="n"/>
      <c r="BF218" s="85" t="n"/>
    </row>
    <row r="219">
      <c r="A219" s="83" t="n"/>
      <c r="B219" s="18" t="n"/>
      <c r="C219" s="24" t="n"/>
      <c r="D219" s="18" t="n"/>
      <c r="E219" s="18" t="n"/>
      <c r="F219" s="18" t="n"/>
      <c r="G219" s="84" t="n"/>
      <c r="H219" s="18" t="n"/>
      <c r="I219" s="85" t="n"/>
      <c r="J219" s="18" t="n"/>
      <c r="K219" s="18" t="n"/>
      <c r="L219" s="84" t="n"/>
      <c r="M219" s="18" t="n"/>
      <c r="N219" s="18" t="n"/>
      <c r="O219" s="18" t="n"/>
      <c r="P219" s="84" t="n"/>
      <c r="Q219" s="18" t="n"/>
      <c r="R219" s="18" t="n"/>
      <c r="S219" s="18" t="n"/>
      <c r="T219" s="84" t="n"/>
      <c r="U219" s="18" t="n"/>
      <c r="V219" s="84" t="n"/>
      <c r="W219" s="18" t="n"/>
      <c r="X219" s="84" t="n"/>
      <c r="Y219" s="18" t="n"/>
      <c r="Z219" s="86" t="n"/>
      <c r="AA219" s="18" t="n"/>
      <c r="AB219" s="84" t="n"/>
      <c r="AC219" s="18" t="n"/>
      <c r="AD219" s="84" t="n"/>
      <c r="AE219" s="18" t="n"/>
      <c r="AF219" s="84" t="n"/>
      <c r="AG219" s="18" t="n"/>
      <c r="AH219" s="84" t="n"/>
      <c r="AI219" s="22" t="n"/>
      <c r="AJ219" s="84" t="n"/>
      <c r="AK219" s="22" t="n"/>
      <c r="AL219" s="84" t="n"/>
      <c r="AM219" s="22" t="n"/>
      <c r="AN219" s="22" t="n"/>
      <c r="AO219" s="84" t="n"/>
      <c r="AP219" s="84" t="n"/>
      <c r="AQ219" s="85" t="n"/>
      <c r="AR219" s="22" t="n"/>
      <c r="AS219" s="22" t="n"/>
      <c r="AT219" s="22" t="n"/>
      <c r="AU219" s="22" t="n"/>
      <c r="AV219" s="22" t="n"/>
      <c r="AW219" s="22" t="n"/>
      <c r="AX219" s="84" t="n"/>
      <c r="AY219" s="84" t="n"/>
      <c r="AZ219" s="84" t="n"/>
      <c r="BA219" s="84" t="n"/>
      <c r="BB219" s="22" t="n"/>
      <c r="BC219" s="22" t="n"/>
      <c r="BD219" s="85" t="n"/>
      <c r="BE219" s="85" t="n"/>
      <c r="BF219" s="85" t="n"/>
    </row>
    <row r="220">
      <c r="A220" s="83" t="n"/>
      <c r="B220" s="18" t="n"/>
      <c r="C220" s="24" t="n"/>
      <c r="D220" s="18" t="n"/>
      <c r="E220" s="18" t="n"/>
      <c r="F220" s="18" t="n"/>
      <c r="G220" s="84" t="n"/>
      <c r="H220" s="18" t="n"/>
      <c r="I220" s="85" t="n"/>
      <c r="J220" s="18" t="n"/>
      <c r="K220" s="18" t="n"/>
      <c r="L220" s="84" t="n"/>
      <c r="M220" s="18" t="n"/>
      <c r="N220" s="18" t="n"/>
      <c r="O220" s="18" t="n"/>
      <c r="P220" s="84" t="n"/>
      <c r="Q220" s="18" t="n"/>
      <c r="R220" s="18" t="n"/>
      <c r="S220" s="18" t="n"/>
      <c r="T220" s="84" t="n"/>
      <c r="U220" s="18" t="n"/>
      <c r="V220" s="84" t="n"/>
      <c r="W220" s="18" t="n"/>
      <c r="X220" s="84" t="n"/>
      <c r="Y220" s="18" t="n"/>
      <c r="Z220" s="86" t="n"/>
      <c r="AA220" s="18" t="n"/>
      <c r="AB220" s="84" t="n"/>
      <c r="AC220" s="18" t="n"/>
      <c r="AD220" s="84" t="n"/>
      <c r="AE220" s="18" t="n"/>
      <c r="AF220" s="84" t="n"/>
      <c r="AG220" s="18" t="n"/>
      <c r="AH220" s="84" t="n"/>
      <c r="AI220" s="22" t="n"/>
      <c r="AJ220" s="84" t="n"/>
      <c r="AK220" s="22" t="n"/>
      <c r="AL220" s="84" t="n"/>
      <c r="AM220" s="22" t="n"/>
      <c r="AN220" s="22" t="n"/>
      <c r="AO220" s="84" t="n"/>
      <c r="AP220" s="84" t="n"/>
      <c r="AQ220" s="85" t="n"/>
      <c r="AR220" s="22" t="n"/>
      <c r="AS220" s="22" t="n"/>
      <c r="AT220" s="22" t="n"/>
      <c r="AU220" s="22" t="n"/>
      <c r="AV220" s="22" t="n"/>
      <c r="AW220" s="22" t="n"/>
      <c r="AX220" s="84" t="n"/>
      <c r="AY220" s="84" t="n"/>
      <c r="AZ220" s="84" t="n"/>
      <c r="BA220" s="84" t="n"/>
      <c r="BB220" s="22" t="n"/>
      <c r="BC220" s="22" t="n"/>
      <c r="BD220" s="85" t="n"/>
      <c r="BE220" s="85" t="n"/>
      <c r="BF220" s="85" t="n"/>
    </row>
    <row r="221">
      <c r="A221" s="83" t="n"/>
      <c r="B221" s="18" t="n"/>
      <c r="C221" s="24" t="n"/>
      <c r="D221" s="18" t="n"/>
      <c r="E221" s="18" t="n"/>
      <c r="F221" s="18" t="n"/>
      <c r="G221" s="84" t="n"/>
      <c r="H221" s="18" t="n"/>
      <c r="I221" s="85" t="n"/>
      <c r="J221" s="18" t="n"/>
      <c r="K221" s="18" t="n"/>
      <c r="L221" s="84" t="n"/>
      <c r="M221" s="18" t="n"/>
      <c r="N221" s="18" t="n"/>
      <c r="O221" s="18" t="n"/>
      <c r="P221" s="84" t="n"/>
      <c r="Q221" s="18" t="n"/>
      <c r="R221" s="18" t="n"/>
      <c r="S221" s="18" t="n"/>
      <c r="T221" s="84" t="n"/>
      <c r="U221" s="18" t="n"/>
      <c r="V221" s="84" t="n"/>
      <c r="W221" s="18" t="n"/>
      <c r="X221" s="84" t="n"/>
      <c r="Y221" s="18" t="n"/>
      <c r="Z221" s="86" t="n"/>
      <c r="AA221" s="18" t="n"/>
      <c r="AB221" s="84" t="n"/>
      <c r="AC221" s="18" t="n"/>
      <c r="AD221" s="84" t="n"/>
      <c r="AE221" s="18" t="n"/>
      <c r="AF221" s="84" t="n"/>
      <c r="AG221" s="18" t="n"/>
      <c r="AH221" s="84" t="n"/>
      <c r="AI221" s="22" t="n"/>
      <c r="AJ221" s="84" t="n"/>
      <c r="AK221" s="22" t="n"/>
      <c r="AL221" s="84" t="n"/>
      <c r="AM221" s="22" t="n"/>
      <c r="AN221" s="22" t="n"/>
      <c r="AO221" s="84" t="n"/>
      <c r="AP221" s="84" t="n"/>
      <c r="AQ221" s="85" t="n"/>
      <c r="AR221" s="22" t="n"/>
      <c r="AS221" s="22" t="n"/>
      <c r="AT221" s="22" t="n"/>
      <c r="AU221" s="22" t="n"/>
      <c r="AV221" s="22" t="n"/>
      <c r="AW221" s="22" t="n"/>
      <c r="AX221" s="84" t="n"/>
      <c r="AY221" s="84" t="n"/>
      <c r="AZ221" s="84" t="n"/>
      <c r="BA221" s="84" t="n"/>
      <c r="BB221" s="22" t="n"/>
      <c r="BC221" s="22" t="n"/>
      <c r="BD221" s="85" t="n"/>
      <c r="BE221" s="85" t="n"/>
      <c r="BF221" s="85" t="n"/>
    </row>
    <row r="222">
      <c r="A222" s="83" t="n"/>
      <c r="B222" s="18" t="n"/>
      <c r="C222" s="24" t="n"/>
      <c r="D222" s="18" t="n"/>
      <c r="E222" s="18" t="n"/>
      <c r="F222" s="18" t="n"/>
      <c r="G222" s="84" t="n"/>
      <c r="H222" s="18" t="n"/>
      <c r="I222" s="85" t="n"/>
      <c r="J222" s="18" t="n"/>
      <c r="K222" s="18" t="n"/>
      <c r="L222" s="84" t="n"/>
      <c r="M222" s="18" t="n"/>
      <c r="N222" s="18" t="n"/>
      <c r="O222" s="18" t="n"/>
      <c r="P222" s="84" t="n"/>
      <c r="Q222" s="18" t="n"/>
      <c r="R222" s="18" t="n"/>
      <c r="S222" s="18" t="n"/>
      <c r="T222" s="84" t="n"/>
      <c r="U222" s="18" t="n"/>
      <c r="V222" s="84" t="n"/>
      <c r="W222" s="18" t="n"/>
      <c r="X222" s="84" t="n"/>
      <c r="Y222" s="18" t="n"/>
      <c r="Z222" s="86" t="n"/>
      <c r="AA222" s="18" t="n"/>
      <c r="AB222" s="84" t="n"/>
      <c r="AC222" s="18" t="n"/>
      <c r="AD222" s="84" t="n"/>
      <c r="AE222" s="18" t="n"/>
      <c r="AF222" s="84" t="n"/>
      <c r="AG222" s="18" t="n"/>
      <c r="AH222" s="84" t="n"/>
      <c r="AI222" s="22" t="n"/>
      <c r="AJ222" s="84" t="n"/>
      <c r="AK222" s="22" t="n"/>
      <c r="AL222" s="84" t="n"/>
      <c r="AM222" s="22" t="n"/>
      <c r="AN222" s="22" t="n"/>
      <c r="AO222" s="84" t="n"/>
      <c r="AP222" s="84" t="n"/>
      <c r="AQ222" s="85" t="n"/>
      <c r="AR222" s="22" t="n"/>
      <c r="AS222" s="22" t="n"/>
      <c r="AT222" s="22" t="n"/>
      <c r="AU222" s="22" t="n"/>
      <c r="AV222" s="22" t="n"/>
      <c r="AW222" s="22" t="n"/>
      <c r="AX222" s="84" t="n"/>
      <c r="AY222" s="84" t="n"/>
      <c r="AZ222" s="84" t="n"/>
      <c r="BA222" s="84" t="n"/>
      <c r="BB222" s="22" t="n"/>
      <c r="BC222" s="22" t="n"/>
      <c r="BD222" s="85" t="n"/>
      <c r="BE222" s="85" t="n"/>
      <c r="BF222" s="85" t="n"/>
    </row>
    <row r="223">
      <c r="A223" s="83" t="n"/>
      <c r="B223" s="18" t="n"/>
      <c r="C223" s="24" t="n"/>
      <c r="D223" s="18" t="n"/>
      <c r="E223" s="18" t="n"/>
      <c r="F223" s="18" t="n"/>
      <c r="G223" s="84" t="n"/>
      <c r="H223" s="18" t="n"/>
      <c r="I223" s="85" t="n"/>
      <c r="J223" s="18" t="n"/>
      <c r="K223" s="18" t="n"/>
      <c r="L223" s="84" t="n"/>
      <c r="M223" s="18" t="n"/>
      <c r="N223" s="18" t="n"/>
      <c r="O223" s="18" t="n"/>
      <c r="P223" s="84" t="n"/>
      <c r="Q223" s="18" t="n"/>
      <c r="R223" s="18" t="n"/>
      <c r="S223" s="18" t="n"/>
      <c r="T223" s="84" t="n"/>
      <c r="U223" s="18" t="n"/>
      <c r="V223" s="84" t="n"/>
      <c r="W223" s="18" t="n"/>
      <c r="X223" s="84" t="n"/>
      <c r="Y223" s="18" t="n"/>
      <c r="Z223" s="86" t="n"/>
      <c r="AA223" s="18" t="n"/>
      <c r="AB223" s="84" t="n"/>
      <c r="AC223" s="18" t="n"/>
      <c r="AD223" s="84" t="n"/>
      <c r="AE223" s="18" t="n"/>
      <c r="AF223" s="84" t="n"/>
      <c r="AG223" s="18" t="n"/>
      <c r="AH223" s="84" t="n"/>
      <c r="AI223" s="22" t="n"/>
      <c r="AJ223" s="84" t="n"/>
      <c r="AK223" s="22" t="n"/>
      <c r="AL223" s="84" t="n"/>
      <c r="AM223" s="22" t="n"/>
      <c r="AN223" s="22" t="n"/>
      <c r="AO223" s="84" t="n"/>
      <c r="AP223" s="84" t="n"/>
      <c r="AQ223" s="85" t="n"/>
      <c r="AR223" s="22" t="n"/>
      <c r="AS223" s="22" t="n"/>
      <c r="AT223" s="22" t="n"/>
      <c r="AU223" s="22" t="n"/>
      <c r="AV223" s="22" t="n"/>
      <c r="AW223" s="22" t="n"/>
      <c r="AX223" s="84" t="n"/>
      <c r="AY223" s="84" t="n"/>
      <c r="AZ223" s="84" t="n"/>
      <c r="BA223" s="84" t="n"/>
      <c r="BB223" s="22" t="n"/>
      <c r="BC223" s="22" t="n"/>
      <c r="BD223" s="85" t="n"/>
      <c r="BE223" s="85" t="n"/>
      <c r="BF223" s="85" t="n"/>
    </row>
    <row r="224">
      <c r="A224" s="83" t="n"/>
      <c r="B224" s="18" t="n"/>
      <c r="C224" s="24" t="n"/>
      <c r="D224" s="18" t="n"/>
      <c r="E224" s="18" t="n"/>
      <c r="F224" s="18" t="n"/>
      <c r="G224" s="84" t="n"/>
      <c r="H224" s="18" t="n"/>
      <c r="I224" s="85" t="n"/>
      <c r="J224" s="18" t="n"/>
      <c r="K224" s="18" t="n"/>
      <c r="L224" s="84" t="n"/>
      <c r="M224" s="18" t="n"/>
      <c r="N224" s="18" t="n"/>
      <c r="O224" s="18" t="n"/>
      <c r="P224" s="84" t="n"/>
      <c r="Q224" s="18" t="n"/>
      <c r="R224" s="18" t="n"/>
      <c r="S224" s="18" t="n"/>
      <c r="T224" s="84" t="n"/>
      <c r="U224" s="18" t="n"/>
      <c r="V224" s="84" t="n"/>
      <c r="W224" s="18" t="n"/>
      <c r="X224" s="84" t="n"/>
      <c r="Y224" s="18" t="n"/>
      <c r="Z224" s="86" t="n"/>
      <c r="AA224" s="18" t="n"/>
      <c r="AB224" s="84" t="n"/>
      <c r="AC224" s="18" t="n"/>
      <c r="AD224" s="84" t="n"/>
      <c r="AE224" s="18" t="n"/>
      <c r="AF224" s="84" t="n"/>
      <c r="AG224" s="18" t="n"/>
      <c r="AH224" s="84" t="n"/>
      <c r="AI224" s="22" t="n"/>
      <c r="AJ224" s="84" t="n"/>
      <c r="AK224" s="22" t="n"/>
      <c r="AL224" s="84" t="n"/>
      <c r="AM224" s="22" t="n"/>
      <c r="AN224" s="22" t="n"/>
      <c r="AO224" s="84" t="n"/>
      <c r="AP224" s="84" t="n"/>
      <c r="AQ224" s="85" t="n"/>
      <c r="AR224" s="22" t="n"/>
      <c r="AS224" s="22" t="n"/>
      <c r="AT224" s="22" t="n"/>
      <c r="AU224" s="22" t="n"/>
      <c r="AV224" s="22" t="n"/>
      <c r="AW224" s="22" t="n"/>
      <c r="AX224" s="84" t="n"/>
      <c r="AY224" s="84" t="n"/>
      <c r="AZ224" s="84" t="n"/>
      <c r="BA224" s="84" t="n"/>
      <c r="BB224" s="22" t="n"/>
      <c r="BC224" s="22" t="n"/>
      <c r="BD224" s="85" t="n"/>
      <c r="BE224" s="85" t="n"/>
      <c r="BF224" s="85" t="n"/>
    </row>
    <row r="225">
      <c r="A225" s="83" t="n"/>
      <c r="B225" s="18" t="n"/>
      <c r="C225" s="24" t="n"/>
      <c r="D225" s="18" t="n"/>
      <c r="E225" s="18" t="n"/>
      <c r="F225" s="18" t="n"/>
      <c r="G225" s="84" t="n"/>
      <c r="H225" s="18" t="n"/>
      <c r="I225" s="85" t="n"/>
      <c r="J225" s="18" t="n"/>
      <c r="K225" s="18" t="n"/>
      <c r="L225" s="84" t="n"/>
      <c r="M225" s="18" t="n"/>
      <c r="N225" s="18" t="n"/>
      <c r="O225" s="18" t="n"/>
      <c r="P225" s="84" t="n"/>
      <c r="Q225" s="18" t="n"/>
      <c r="R225" s="18" t="n"/>
      <c r="S225" s="18" t="n"/>
      <c r="T225" s="84" t="n"/>
      <c r="U225" s="18" t="n"/>
      <c r="V225" s="84" t="n"/>
      <c r="W225" s="18" t="n"/>
      <c r="X225" s="84" t="n"/>
      <c r="Y225" s="18" t="n"/>
      <c r="Z225" s="86" t="n"/>
      <c r="AA225" s="18" t="n"/>
      <c r="AB225" s="84" t="n"/>
      <c r="AC225" s="18" t="n"/>
      <c r="AD225" s="84" t="n"/>
      <c r="AE225" s="18" t="n"/>
      <c r="AF225" s="84" t="n"/>
      <c r="AG225" s="18" t="n"/>
      <c r="AH225" s="84" t="n"/>
      <c r="AI225" s="22" t="n"/>
      <c r="AJ225" s="84" t="n"/>
      <c r="AK225" s="22" t="n"/>
      <c r="AL225" s="84" t="n"/>
      <c r="AM225" s="22" t="n"/>
      <c r="AN225" s="22" t="n"/>
      <c r="AO225" s="84" t="n"/>
      <c r="AP225" s="84" t="n"/>
      <c r="AQ225" s="85" t="n"/>
      <c r="AR225" s="22" t="n"/>
      <c r="AS225" s="22" t="n"/>
      <c r="AT225" s="22" t="n"/>
      <c r="AU225" s="22" t="n"/>
      <c r="AV225" s="22" t="n"/>
      <c r="AW225" s="22" t="n"/>
      <c r="AX225" s="84" t="n"/>
      <c r="AY225" s="84" t="n"/>
      <c r="AZ225" s="84" t="n"/>
      <c r="BA225" s="84" t="n"/>
      <c r="BB225" s="22" t="n"/>
      <c r="BC225" s="22" t="n"/>
      <c r="BD225" s="85" t="n"/>
      <c r="BE225" s="85" t="n"/>
      <c r="BF225" s="85" t="n"/>
    </row>
    <row r="226">
      <c r="A226" s="83" t="n"/>
      <c r="B226" s="18" t="n"/>
      <c r="C226" s="24" t="n"/>
      <c r="D226" s="18" t="n"/>
      <c r="E226" s="18" t="n"/>
      <c r="F226" s="18" t="n"/>
      <c r="G226" s="84" t="n"/>
      <c r="H226" s="18" t="n"/>
      <c r="I226" s="85" t="n"/>
      <c r="J226" s="18" t="n"/>
      <c r="K226" s="18" t="n"/>
      <c r="L226" s="84" t="n"/>
      <c r="M226" s="18" t="n"/>
      <c r="N226" s="18" t="n"/>
      <c r="O226" s="18" t="n"/>
      <c r="P226" s="84" t="n"/>
      <c r="Q226" s="18" t="n"/>
      <c r="R226" s="18" t="n"/>
      <c r="S226" s="18" t="n"/>
      <c r="T226" s="84" t="n"/>
      <c r="U226" s="18" t="n"/>
      <c r="V226" s="84" t="n"/>
      <c r="W226" s="18" t="n"/>
      <c r="X226" s="84" t="n"/>
      <c r="Y226" s="18" t="n"/>
      <c r="Z226" s="86" t="n"/>
      <c r="AA226" s="18" t="n"/>
      <c r="AB226" s="84" t="n"/>
      <c r="AC226" s="18" t="n"/>
      <c r="AD226" s="84" t="n"/>
      <c r="AE226" s="18" t="n"/>
      <c r="AF226" s="84" t="n"/>
      <c r="AG226" s="18" t="n"/>
      <c r="AH226" s="84" t="n"/>
      <c r="AI226" s="22" t="n"/>
      <c r="AJ226" s="84" t="n"/>
      <c r="AK226" s="22" t="n"/>
      <c r="AL226" s="84" t="n"/>
      <c r="AM226" s="22" t="n"/>
      <c r="AN226" s="22" t="n"/>
      <c r="AO226" s="84" t="n"/>
      <c r="AP226" s="84" t="n"/>
      <c r="AQ226" s="85" t="n"/>
      <c r="AR226" s="22" t="n"/>
      <c r="AS226" s="22" t="n"/>
      <c r="AT226" s="22" t="n"/>
      <c r="AU226" s="22" t="n"/>
      <c r="AV226" s="22" t="n"/>
      <c r="AW226" s="22" t="n"/>
      <c r="AX226" s="84" t="n"/>
      <c r="AY226" s="84" t="n"/>
      <c r="AZ226" s="84" t="n"/>
      <c r="BA226" s="84" t="n"/>
      <c r="BB226" s="22" t="n"/>
      <c r="BC226" s="22" t="n"/>
      <c r="BD226" s="85" t="n"/>
      <c r="BE226" s="85" t="n"/>
      <c r="BF226" s="85" t="n"/>
    </row>
    <row r="227">
      <c r="A227" s="83" t="n"/>
      <c r="B227" s="18" t="n"/>
      <c r="C227" s="24" t="n"/>
      <c r="D227" s="18" t="n"/>
      <c r="E227" s="18" t="n"/>
      <c r="F227" s="18" t="n"/>
      <c r="G227" s="84" t="n"/>
      <c r="H227" s="18" t="n"/>
      <c r="I227" s="85" t="n"/>
      <c r="J227" s="18" t="n"/>
      <c r="K227" s="18" t="n"/>
      <c r="L227" s="84" t="n"/>
      <c r="M227" s="18" t="n"/>
      <c r="N227" s="18" t="n"/>
      <c r="O227" s="18" t="n"/>
      <c r="P227" s="84" t="n"/>
      <c r="Q227" s="18" t="n"/>
      <c r="R227" s="18" t="n"/>
      <c r="S227" s="18" t="n"/>
      <c r="T227" s="84" t="n"/>
      <c r="U227" s="18" t="n"/>
      <c r="V227" s="84" t="n"/>
      <c r="W227" s="18" t="n"/>
      <c r="X227" s="84" t="n"/>
      <c r="Y227" s="18" t="n"/>
      <c r="Z227" s="86" t="n"/>
      <c r="AA227" s="18" t="n"/>
      <c r="AB227" s="84" t="n"/>
      <c r="AC227" s="18" t="n"/>
      <c r="AD227" s="84" t="n"/>
      <c r="AE227" s="18" t="n"/>
      <c r="AF227" s="84" t="n"/>
      <c r="AG227" s="18" t="n"/>
      <c r="AH227" s="84" t="n"/>
      <c r="AI227" s="22" t="n"/>
      <c r="AJ227" s="84" t="n"/>
      <c r="AK227" s="22" t="n"/>
      <c r="AL227" s="84" t="n"/>
      <c r="AM227" s="22" t="n"/>
      <c r="AN227" s="22" t="n"/>
      <c r="AO227" s="84" t="n"/>
      <c r="AP227" s="84" t="n"/>
      <c r="AQ227" s="85" t="n"/>
      <c r="AR227" s="22" t="n"/>
      <c r="AS227" s="22" t="n"/>
      <c r="AT227" s="22" t="n"/>
      <c r="AU227" s="22" t="n"/>
      <c r="AV227" s="22" t="n"/>
      <c r="AW227" s="22" t="n"/>
      <c r="AX227" s="84" t="n"/>
      <c r="AY227" s="84" t="n"/>
      <c r="AZ227" s="84" t="n"/>
      <c r="BA227" s="84" t="n"/>
      <c r="BB227" s="22" t="n"/>
      <c r="BC227" s="22" t="n"/>
      <c r="BD227" s="85" t="n"/>
      <c r="BE227" s="85" t="n"/>
      <c r="BF227" s="85" t="n"/>
    </row>
    <row r="228">
      <c r="A228" s="83" t="n"/>
      <c r="B228" s="18" t="n"/>
      <c r="C228" s="24" t="n"/>
      <c r="D228" s="18" t="n"/>
      <c r="E228" s="18" t="n"/>
      <c r="F228" s="18" t="n"/>
      <c r="G228" s="84" t="n"/>
      <c r="H228" s="18" t="n"/>
      <c r="I228" s="85" t="n"/>
      <c r="J228" s="18" t="n"/>
      <c r="K228" s="18" t="n"/>
      <c r="L228" s="84" t="n"/>
      <c r="M228" s="18" t="n"/>
      <c r="N228" s="18" t="n"/>
      <c r="O228" s="18" t="n"/>
      <c r="P228" s="84" t="n"/>
      <c r="Q228" s="18" t="n"/>
      <c r="R228" s="18" t="n"/>
      <c r="S228" s="18" t="n"/>
      <c r="T228" s="84" t="n"/>
      <c r="U228" s="18" t="n"/>
      <c r="V228" s="84" t="n"/>
      <c r="W228" s="18" t="n"/>
      <c r="X228" s="84" t="n"/>
      <c r="Y228" s="18" t="n"/>
      <c r="Z228" s="86" t="n"/>
      <c r="AA228" s="18" t="n"/>
      <c r="AB228" s="84" t="n"/>
      <c r="AC228" s="18" t="n"/>
      <c r="AD228" s="84" t="n"/>
      <c r="AE228" s="18" t="n"/>
      <c r="AF228" s="84" t="n"/>
      <c r="AG228" s="18" t="n"/>
      <c r="AH228" s="84" t="n"/>
      <c r="AI228" s="22" t="n"/>
      <c r="AJ228" s="84" t="n"/>
      <c r="AK228" s="22" t="n"/>
      <c r="AL228" s="84" t="n"/>
      <c r="AM228" s="22" t="n"/>
      <c r="AN228" s="22" t="n"/>
      <c r="AO228" s="84" t="n"/>
      <c r="AP228" s="84" t="n"/>
      <c r="AQ228" s="85" t="n"/>
      <c r="AR228" s="22" t="n"/>
      <c r="AS228" s="22" t="n"/>
      <c r="AT228" s="22" t="n"/>
      <c r="AU228" s="22" t="n"/>
      <c r="AV228" s="22" t="n"/>
      <c r="AW228" s="22" t="n"/>
      <c r="AX228" s="84" t="n"/>
      <c r="AY228" s="84" t="n"/>
      <c r="AZ228" s="84" t="n"/>
      <c r="BA228" s="84" t="n"/>
      <c r="BB228" s="22" t="n"/>
      <c r="BC228" s="22" t="n"/>
      <c r="BD228" s="85" t="n"/>
      <c r="BE228" s="85" t="n"/>
      <c r="BF228" s="85" t="n"/>
    </row>
    <row r="229">
      <c r="A229" s="83" t="n"/>
      <c r="B229" s="18" t="n"/>
      <c r="C229" s="24" t="n"/>
      <c r="D229" s="18" t="n"/>
      <c r="E229" s="18" t="n"/>
      <c r="F229" s="18" t="n"/>
      <c r="G229" s="84" t="n"/>
      <c r="H229" s="18" t="n"/>
      <c r="I229" s="85" t="n"/>
      <c r="J229" s="18" t="n"/>
      <c r="K229" s="18" t="n"/>
      <c r="L229" s="84" t="n"/>
      <c r="M229" s="18" t="n"/>
      <c r="N229" s="18" t="n"/>
      <c r="O229" s="18" t="n"/>
      <c r="P229" s="84" t="n"/>
      <c r="Q229" s="18" t="n"/>
      <c r="R229" s="18" t="n"/>
      <c r="S229" s="18" t="n"/>
      <c r="T229" s="84" t="n"/>
      <c r="U229" s="18" t="n"/>
      <c r="V229" s="84" t="n"/>
      <c r="W229" s="18" t="n"/>
      <c r="X229" s="84" t="n"/>
      <c r="Y229" s="18" t="n"/>
      <c r="Z229" s="86" t="n"/>
      <c r="AA229" s="18" t="n"/>
      <c r="AB229" s="84" t="n"/>
      <c r="AC229" s="18" t="n"/>
      <c r="AD229" s="84" t="n"/>
      <c r="AE229" s="18" t="n"/>
      <c r="AF229" s="84" t="n"/>
      <c r="AG229" s="18" t="n"/>
      <c r="AH229" s="84" t="n"/>
      <c r="AI229" s="22" t="n"/>
      <c r="AJ229" s="84" t="n"/>
      <c r="AK229" s="22" t="n"/>
      <c r="AL229" s="84" t="n"/>
      <c r="AM229" s="22" t="n"/>
      <c r="AN229" s="22" t="n"/>
      <c r="AO229" s="84" t="n"/>
      <c r="AP229" s="84" t="n"/>
      <c r="AQ229" s="85" t="n"/>
      <c r="AR229" s="22" t="n"/>
      <c r="AS229" s="22" t="n"/>
      <c r="AT229" s="22" t="n"/>
      <c r="AU229" s="22" t="n"/>
      <c r="AV229" s="22" t="n"/>
      <c r="AW229" s="22" t="n"/>
      <c r="AX229" s="84" t="n"/>
      <c r="AY229" s="84" t="n"/>
      <c r="AZ229" s="84" t="n"/>
      <c r="BA229" s="84" t="n"/>
      <c r="BB229" s="22" t="n"/>
      <c r="BC229" s="22" t="n"/>
      <c r="BD229" s="85" t="n"/>
      <c r="BE229" s="85" t="n"/>
      <c r="BF229" s="85" t="n"/>
    </row>
    <row r="230">
      <c r="A230" s="83" t="n"/>
      <c r="B230" s="18" t="n"/>
      <c r="C230" s="24" t="n"/>
      <c r="D230" s="18" t="n"/>
      <c r="E230" s="18" t="n"/>
      <c r="F230" s="18" t="n"/>
      <c r="G230" s="84" t="n"/>
      <c r="H230" s="18" t="n"/>
      <c r="I230" s="85" t="n"/>
      <c r="J230" s="18" t="n"/>
      <c r="K230" s="18" t="n"/>
      <c r="L230" s="84" t="n"/>
      <c r="M230" s="18" t="n"/>
      <c r="N230" s="18" t="n"/>
      <c r="O230" s="18" t="n"/>
      <c r="P230" s="84" t="n"/>
      <c r="Q230" s="18" t="n"/>
      <c r="R230" s="18" t="n"/>
      <c r="S230" s="18" t="n"/>
      <c r="T230" s="84" t="n"/>
      <c r="U230" s="18" t="n"/>
      <c r="V230" s="84" t="n"/>
      <c r="W230" s="18" t="n"/>
      <c r="X230" s="84" t="n"/>
      <c r="Y230" s="18" t="n"/>
      <c r="Z230" s="86" t="n"/>
      <c r="AA230" s="18" t="n"/>
      <c r="AB230" s="84" t="n"/>
      <c r="AC230" s="18" t="n"/>
      <c r="AD230" s="84" t="n"/>
      <c r="AE230" s="18" t="n"/>
      <c r="AF230" s="84" t="n"/>
      <c r="AG230" s="18" t="n"/>
      <c r="AH230" s="84" t="n"/>
      <c r="AI230" s="22" t="n"/>
      <c r="AJ230" s="84" t="n"/>
      <c r="AK230" s="22" t="n"/>
      <c r="AL230" s="84" t="n"/>
      <c r="AM230" s="22" t="n"/>
      <c r="AN230" s="22" t="n"/>
      <c r="AO230" s="84" t="n"/>
      <c r="AP230" s="84" t="n"/>
      <c r="AQ230" s="85" t="n"/>
      <c r="AR230" s="22" t="n"/>
      <c r="AS230" s="22" t="n"/>
      <c r="AT230" s="22" t="n"/>
      <c r="AU230" s="22" t="n"/>
      <c r="AV230" s="22" t="n"/>
      <c r="AW230" s="22" t="n"/>
      <c r="AX230" s="84" t="n"/>
      <c r="AY230" s="84" t="n"/>
      <c r="AZ230" s="84" t="n"/>
      <c r="BA230" s="84" t="n"/>
      <c r="BB230" s="22" t="n"/>
      <c r="BC230" s="22" t="n"/>
      <c r="BD230" s="85" t="n"/>
      <c r="BE230" s="85" t="n"/>
      <c r="BF230" s="85" t="n"/>
    </row>
    <row r="231">
      <c r="A231" s="83" t="n"/>
      <c r="B231" s="18" t="n"/>
      <c r="C231" s="24" t="n"/>
      <c r="D231" s="18" t="n"/>
      <c r="E231" s="18" t="n"/>
      <c r="F231" s="18" t="n"/>
      <c r="G231" s="84" t="n"/>
      <c r="H231" s="18" t="n"/>
      <c r="I231" s="85" t="n"/>
      <c r="J231" s="18" t="n"/>
      <c r="K231" s="18" t="n"/>
      <c r="L231" s="84" t="n"/>
      <c r="M231" s="18" t="n"/>
      <c r="N231" s="18" t="n"/>
      <c r="O231" s="18" t="n"/>
      <c r="P231" s="84" t="n"/>
      <c r="Q231" s="18" t="n"/>
      <c r="R231" s="18" t="n"/>
      <c r="S231" s="18" t="n"/>
      <c r="T231" s="84" t="n"/>
      <c r="U231" s="18" t="n"/>
      <c r="V231" s="84" t="n"/>
      <c r="W231" s="18" t="n"/>
      <c r="X231" s="84" t="n"/>
      <c r="Y231" s="18" t="n"/>
      <c r="Z231" s="86" t="n"/>
      <c r="AA231" s="18" t="n"/>
      <c r="AB231" s="84" t="n"/>
      <c r="AC231" s="18" t="n"/>
      <c r="AD231" s="84" t="n"/>
      <c r="AE231" s="18" t="n"/>
      <c r="AF231" s="84" t="n"/>
      <c r="AG231" s="18" t="n"/>
      <c r="AH231" s="84" t="n"/>
      <c r="AI231" s="22" t="n"/>
      <c r="AJ231" s="84" t="n"/>
      <c r="AK231" s="22" t="n"/>
      <c r="AL231" s="84" t="n"/>
      <c r="AM231" s="22" t="n"/>
      <c r="AN231" s="22" t="n"/>
      <c r="AO231" s="84" t="n"/>
      <c r="AP231" s="84" t="n"/>
      <c r="AQ231" s="85" t="n"/>
      <c r="AR231" s="22" t="n"/>
      <c r="AS231" s="22" t="n"/>
      <c r="AT231" s="22" t="n"/>
      <c r="AU231" s="22" t="n"/>
      <c r="AV231" s="22" t="n"/>
      <c r="AW231" s="22" t="n"/>
      <c r="AX231" s="84" t="n"/>
      <c r="AY231" s="84" t="n"/>
      <c r="AZ231" s="84" t="n"/>
      <c r="BA231" s="84" t="n"/>
      <c r="BB231" s="22" t="n"/>
      <c r="BC231" s="22" t="n"/>
      <c r="BD231" s="85" t="n"/>
      <c r="BE231" s="85" t="n"/>
      <c r="BF231" s="85" t="n"/>
    </row>
    <row r="232">
      <c r="A232" s="83" t="n"/>
      <c r="B232" s="18" t="n"/>
      <c r="C232" s="24" t="n"/>
      <c r="D232" s="18" t="n"/>
      <c r="E232" s="18" t="n"/>
      <c r="F232" s="18" t="n"/>
      <c r="G232" s="84" t="n"/>
      <c r="H232" s="18" t="n"/>
      <c r="I232" s="85" t="n"/>
      <c r="J232" s="18" t="n"/>
      <c r="K232" s="18" t="n"/>
      <c r="L232" s="84" t="n"/>
      <c r="M232" s="18" t="n"/>
      <c r="N232" s="18" t="n"/>
      <c r="O232" s="18" t="n"/>
      <c r="P232" s="84" t="n"/>
      <c r="Q232" s="18" t="n"/>
      <c r="R232" s="18" t="n"/>
      <c r="S232" s="18" t="n"/>
      <c r="T232" s="84" t="n"/>
      <c r="U232" s="18" t="n"/>
      <c r="V232" s="84" t="n"/>
      <c r="W232" s="18" t="n"/>
      <c r="X232" s="84" t="n"/>
      <c r="Y232" s="18" t="n"/>
      <c r="Z232" s="86" t="n"/>
      <c r="AA232" s="18" t="n"/>
      <c r="AB232" s="84" t="n"/>
      <c r="AC232" s="18" t="n"/>
      <c r="AD232" s="84" t="n"/>
      <c r="AE232" s="18" t="n"/>
      <c r="AF232" s="84" t="n"/>
      <c r="AG232" s="18" t="n"/>
      <c r="AH232" s="84" t="n"/>
      <c r="AI232" s="22" t="n"/>
      <c r="AJ232" s="84" t="n"/>
      <c r="AK232" s="22" t="n"/>
      <c r="AL232" s="84" t="n"/>
      <c r="AM232" s="22" t="n"/>
      <c r="AN232" s="22" t="n"/>
      <c r="AO232" s="84" t="n"/>
      <c r="AP232" s="84" t="n"/>
      <c r="AQ232" s="85" t="n"/>
      <c r="AR232" s="22" t="n"/>
      <c r="AS232" s="22" t="n"/>
      <c r="AT232" s="22" t="n"/>
      <c r="AU232" s="22" t="n"/>
      <c r="AV232" s="22" t="n"/>
      <c r="AW232" s="22" t="n"/>
      <c r="AX232" s="84" t="n"/>
      <c r="AY232" s="84" t="n"/>
      <c r="AZ232" s="84" t="n"/>
      <c r="BA232" s="84" t="n"/>
      <c r="BB232" s="22" t="n"/>
      <c r="BC232" s="22" t="n"/>
      <c r="BD232" s="85" t="n"/>
      <c r="BE232" s="85" t="n"/>
      <c r="BF232" s="85" t="n"/>
    </row>
    <row r="233">
      <c r="A233" s="83" t="n"/>
      <c r="B233" s="18" t="n"/>
      <c r="C233" s="24" t="n"/>
      <c r="D233" s="18" t="n"/>
      <c r="E233" s="18" t="n"/>
      <c r="F233" s="18" t="n"/>
      <c r="G233" s="84" t="n"/>
      <c r="H233" s="18" t="n"/>
      <c r="I233" s="85" t="n"/>
      <c r="J233" s="18" t="n"/>
      <c r="K233" s="18" t="n"/>
      <c r="L233" s="84" t="n"/>
      <c r="M233" s="18" t="n"/>
      <c r="N233" s="18" t="n"/>
      <c r="O233" s="18" t="n"/>
      <c r="P233" s="84" t="n"/>
      <c r="Q233" s="18" t="n"/>
      <c r="R233" s="18" t="n"/>
      <c r="S233" s="18" t="n"/>
      <c r="T233" s="84" t="n"/>
      <c r="U233" s="18" t="n"/>
      <c r="V233" s="84" t="n"/>
      <c r="W233" s="18" t="n"/>
      <c r="X233" s="84" t="n"/>
      <c r="Y233" s="18" t="n"/>
      <c r="Z233" s="86" t="n"/>
      <c r="AA233" s="18" t="n"/>
      <c r="AB233" s="84" t="n"/>
      <c r="AC233" s="18" t="n"/>
      <c r="AD233" s="84" t="n"/>
      <c r="AE233" s="18" t="n"/>
      <c r="AF233" s="84" t="n"/>
      <c r="AG233" s="18" t="n"/>
      <c r="AH233" s="84" t="n"/>
      <c r="AI233" s="22" t="n"/>
      <c r="AJ233" s="84" t="n"/>
      <c r="AK233" s="22" t="n"/>
      <c r="AL233" s="84" t="n"/>
      <c r="AM233" s="22" t="n"/>
      <c r="AN233" s="22" t="n"/>
      <c r="AO233" s="84" t="n"/>
      <c r="AP233" s="84" t="n"/>
      <c r="AQ233" s="85" t="n"/>
      <c r="AR233" s="22" t="n"/>
      <c r="AS233" s="22" t="n"/>
      <c r="AT233" s="22" t="n"/>
      <c r="AU233" s="22" t="n"/>
      <c r="AV233" s="22" t="n"/>
      <c r="AW233" s="22" t="n"/>
      <c r="AX233" s="84" t="n"/>
      <c r="AY233" s="84" t="n"/>
      <c r="AZ233" s="84" t="n"/>
      <c r="BA233" s="84" t="n"/>
      <c r="BB233" s="22" t="n"/>
      <c r="BC233" s="22" t="n"/>
      <c r="BD233" s="85" t="n"/>
      <c r="BE233" s="85" t="n"/>
      <c r="BF233" s="85" t="n"/>
    </row>
    <row r="234">
      <c r="A234" s="83" t="n"/>
      <c r="B234" s="18" t="n"/>
      <c r="C234" s="24" t="n"/>
      <c r="D234" s="18" t="n"/>
      <c r="E234" s="18" t="n"/>
      <c r="F234" s="18" t="n"/>
      <c r="G234" s="84" t="n"/>
      <c r="H234" s="18" t="n"/>
      <c r="I234" s="85" t="n"/>
      <c r="J234" s="18" t="n"/>
      <c r="K234" s="18" t="n"/>
      <c r="L234" s="84" t="n"/>
      <c r="M234" s="18" t="n"/>
      <c r="N234" s="18" t="n"/>
      <c r="O234" s="18" t="n"/>
      <c r="P234" s="84" t="n"/>
      <c r="Q234" s="18" t="n"/>
      <c r="R234" s="18" t="n"/>
      <c r="S234" s="18" t="n"/>
      <c r="T234" s="84" t="n"/>
      <c r="U234" s="18" t="n"/>
      <c r="V234" s="84" t="n"/>
      <c r="W234" s="18" t="n"/>
      <c r="X234" s="84" t="n"/>
      <c r="Y234" s="18" t="n"/>
      <c r="Z234" s="86" t="n"/>
      <c r="AA234" s="18" t="n"/>
      <c r="AB234" s="84" t="n"/>
      <c r="AC234" s="18" t="n"/>
      <c r="AD234" s="84" t="n"/>
      <c r="AE234" s="18" t="n"/>
      <c r="AF234" s="84" t="n"/>
      <c r="AG234" s="18" t="n"/>
      <c r="AH234" s="84" t="n"/>
      <c r="AI234" s="22" t="n"/>
      <c r="AJ234" s="84" t="n"/>
      <c r="AK234" s="22" t="n"/>
      <c r="AL234" s="84" t="n"/>
      <c r="AM234" s="22" t="n"/>
      <c r="AN234" s="22" t="n"/>
      <c r="AO234" s="84" t="n"/>
      <c r="AP234" s="84" t="n"/>
      <c r="AQ234" s="85" t="n"/>
      <c r="AR234" s="22" t="n"/>
      <c r="AS234" s="22" t="n"/>
      <c r="AT234" s="22" t="n"/>
      <c r="AU234" s="22" t="n"/>
      <c r="AV234" s="22" t="n"/>
      <c r="AW234" s="22" t="n"/>
      <c r="AX234" s="84" t="n"/>
      <c r="AY234" s="84" t="n"/>
      <c r="AZ234" s="84" t="n"/>
      <c r="BA234" s="84" t="n"/>
      <c r="BB234" s="22" t="n"/>
      <c r="BC234" s="22" t="n"/>
      <c r="BD234" s="85" t="n"/>
      <c r="BE234" s="85" t="n"/>
      <c r="BF234" s="85" t="n"/>
    </row>
    <row r="235">
      <c r="A235" s="83" t="n"/>
      <c r="B235" s="18" t="n"/>
      <c r="C235" s="24" t="n"/>
      <c r="D235" s="18" t="n"/>
      <c r="E235" s="18" t="n"/>
      <c r="F235" s="18" t="n"/>
      <c r="G235" s="84" t="n"/>
      <c r="H235" s="18" t="n"/>
      <c r="I235" s="85" t="n"/>
      <c r="J235" s="18" t="n"/>
      <c r="K235" s="18" t="n"/>
      <c r="L235" s="84" t="n"/>
      <c r="M235" s="18" t="n"/>
      <c r="N235" s="18" t="n"/>
      <c r="O235" s="18" t="n"/>
      <c r="P235" s="84" t="n"/>
      <c r="Q235" s="18" t="n"/>
      <c r="R235" s="18" t="n"/>
      <c r="S235" s="18" t="n"/>
      <c r="T235" s="84" t="n"/>
      <c r="U235" s="18" t="n"/>
      <c r="V235" s="84" t="n"/>
      <c r="W235" s="18" t="n"/>
      <c r="X235" s="84" t="n"/>
      <c r="Y235" s="18" t="n"/>
      <c r="Z235" s="86" t="n"/>
      <c r="AA235" s="18" t="n"/>
      <c r="AB235" s="84" t="n"/>
      <c r="AC235" s="18" t="n"/>
      <c r="AD235" s="84" t="n"/>
      <c r="AE235" s="18" t="n"/>
      <c r="AF235" s="84" t="n"/>
      <c r="AG235" s="18" t="n"/>
      <c r="AH235" s="84" t="n"/>
      <c r="AI235" s="22" t="n"/>
      <c r="AJ235" s="84" t="n"/>
      <c r="AK235" s="22" t="n"/>
      <c r="AL235" s="84" t="n"/>
      <c r="AM235" s="22" t="n"/>
      <c r="AN235" s="22" t="n"/>
      <c r="AO235" s="84" t="n"/>
      <c r="AP235" s="84" t="n"/>
      <c r="AQ235" s="85" t="n"/>
      <c r="AR235" s="22" t="n"/>
      <c r="AS235" s="22" t="n"/>
      <c r="AT235" s="22" t="n"/>
      <c r="AU235" s="22" t="n"/>
      <c r="AV235" s="22" t="n"/>
      <c r="AW235" s="22" t="n"/>
      <c r="AX235" s="84" t="n"/>
      <c r="AY235" s="84" t="n"/>
      <c r="AZ235" s="84" t="n"/>
      <c r="BA235" s="84" t="n"/>
      <c r="BB235" s="22" t="n"/>
      <c r="BC235" s="22" t="n"/>
      <c r="BD235" s="85" t="n"/>
      <c r="BE235" s="85" t="n"/>
      <c r="BF235" s="85" t="n"/>
    </row>
    <row r="236">
      <c r="A236" s="83" t="n"/>
      <c r="B236" s="18" t="n"/>
      <c r="C236" s="24" t="n"/>
      <c r="D236" s="18" t="n"/>
      <c r="E236" s="18" t="n"/>
      <c r="F236" s="18" t="n"/>
      <c r="G236" s="84" t="n"/>
      <c r="H236" s="18" t="n"/>
      <c r="I236" s="85" t="n"/>
      <c r="J236" s="18" t="n"/>
      <c r="K236" s="18" t="n"/>
      <c r="L236" s="84" t="n"/>
      <c r="M236" s="18" t="n"/>
      <c r="N236" s="18" t="n"/>
      <c r="O236" s="18" t="n"/>
      <c r="P236" s="84" t="n"/>
      <c r="Q236" s="18" t="n"/>
      <c r="R236" s="18" t="n"/>
      <c r="S236" s="18" t="n"/>
      <c r="T236" s="84" t="n"/>
      <c r="U236" s="18" t="n"/>
      <c r="V236" s="84" t="n"/>
      <c r="W236" s="18" t="n"/>
      <c r="X236" s="84" t="n"/>
      <c r="Y236" s="18" t="n"/>
      <c r="Z236" s="86" t="n"/>
      <c r="AA236" s="18" t="n"/>
      <c r="AB236" s="84" t="n"/>
      <c r="AC236" s="18" t="n"/>
      <c r="AD236" s="84" t="n"/>
      <c r="AE236" s="18" t="n"/>
      <c r="AF236" s="84" t="n"/>
      <c r="AG236" s="18" t="n"/>
      <c r="AH236" s="84" t="n"/>
      <c r="AI236" s="22" t="n"/>
      <c r="AJ236" s="84" t="n"/>
      <c r="AK236" s="22" t="n"/>
      <c r="AL236" s="84" t="n"/>
      <c r="AM236" s="22" t="n"/>
      <c r="AN236" s="22" t="n"/>
      <c r="AO236" s="84" t="n"/>
      <c r="AP236" s="84" t="n"/>
      <c r="AQ236" s="85" t="n"/>
      <c r="AR236" s="22" t="n"/>
      <c r="AS236" s="22" t="n"/>
      <c r="AT236" s="22" t="n"/>
      <c r="AU236" s="22" t="n"/>
      <c r="AV236" s="22" t="n"/>
      <c r="AW236" s="22" t="n"/>
      <c r="AX236" s="84" t="n"/>
      <c r="AY236" s="84" t="n"/>
      <c r="AZ236" s="84" t="n"/>
      <c r="BA236" s="84" t="n"/>
      <c r="BB236" s="22" t="n"/>
      <c r="BC236" s="22" t="n"/>
      <c r="BD236" s="85" t="n"/>
      <c r="BE236" s="85" t="n"/>
      <c r="BF236" s="85" t="n"/>
    </row>
    <row r="237">
      <c r="A237" s="83" t="n"/>
      <c r="B237" s="18" t="n"/>
      <c r="C237" s="24" t="n"/>
      <c r="D237" s="18" t="n"/>
      <c r="E237" s="18" t="n"/>
      <c r="F237" s="18" t="n"/>
      <c r="G237" s="84" t="n"/>
      <c r="H237" s="18" t="n"/>
      <c r="I237" s="85" t="n"/>
      <c r="J237" s="18" t="n"/>
      <c r="K237" s="18" t="n"/>
      <c r="L237" s="84" t="n"/>
      <c r="M237" s="18" t="n"/>
      <c r="N237" s="18" t="n"/>
      <c r="O237" s="18" t="n"/>
      <c r="P237" s="84" t="n"/>
      <c r="Q237" s="18" t="n"/>
      <c r="R237" s="18" t="n"/>
      <c r="S237" s="18" t="n"/>
      <c r="T237" s="84" t="n"/>
      <c r="U237" s="18" t="n"/>
      <c r="V237" s="84" t="n"/>
      <c r="W237" s="18" t="n"/>
      <c r="X237" s="84" t="n"/>
      <c r="Y237" s="18" t="n"/>
      <c r="Z237" s="86" t="n"/>
      <c r="AA237" s="18" t="n"/>
      <c r="AB237" s="84" t="n"/>
      <c r="AC237" s="18" t="n"/>
      <c r="AD237" s="84" t="n"/>
      <c r="AE237" s="18" t="n"/>
      <c r="AF237" s="84" t="n"/>
      <c r="AG237" s="18" t="n"/>
      <c r="AH237" s="84" t="n"/>
      <c r="AI237" s="22" t="n"/>
      <c r="AJ237" s="84" t="n"/>
      <c r="AK237" s="22" t="n"/>
      <c r="AL237" s="84" t="n"/>
      <c r="AM237" s="22" t="n"/>
      <c r="AN237" s="22" t="n"/>
      <c r="AO237" s="84" t="n"/>
      <c r="AP237" s="84" t="n"/>
      <c r="AQ237" s="85" t="n"/>
      <c r="AR237" s="22" t="n"/>
      <c r="AS237" s="22" t="n"/>
      <c r="AT237" s="22" t="n"/>
      <c r="AU237" s="22" t="n"/>
      <c r="AV237" s="22" t="n"/>
      <c r="AW237" s="22" t="n"/>
      <c r="AX237" s="84" t="n"/>
      <c r="AY237" s="84" t="n"/>
      <c r="AZ237" s="84" t="n"/>
      <c r="BA237" s="84" t="n"/>
      <c r="BB237" s="22" t="n"/>
      <c r="BC237" s="22" t="n"/>
      <c r="BD237" s="85" t="n"/>
      <c r="BE237" s="85" t="n"/>
      <c r="BF237" s="85" t="n"/>
    </row>
    <row r="238">
      <c r="A238" s="83" t="n"/>
      <c r="B238" s="18" t="n"/>
      <c r="C238" s="24" t="n"/>
      <c r="D238" s="18" t="n"/>
      <c r="E238" s="18" t="n"/>
      <c r="F238" s="18" t="n"/>
      <c r="G238" s="84" t="n"/>
      <c r="H238" s="18" t="n"/>
      <c r="I238" s="85" t="n"/>
      <c r="J238" s="18" t="n"/>
      <c r="K238" s="18" t="n"/>
      <c r="L238" s="84" t="n"/>
      <c r="M238" s="18" t="n"/>
      <c r="N238" s="18" t="n"/>
      <c r="O238" s="18" t="n"/>
      <c r="P238" s="84" t="n"/>
      <c r="Q238" s="18" t="n"/>
      <c r="R238" s="18" t="n"/>
      <c r="S238" s="18" t="n"/>
      <c r="T238" s="84" t="n"/>
      <c r="U238" s="18" t="n"/>
      <c r="V238" s="84" t="n"/>
      <c r="W238" s="18" t="n"/>
      <c r="X238" s="84" t="n"/>
      <c r="Y238" s="18" t="n"/>
      <c r="Z238" s="86" t="n"/>
      <c r="AA238" s="18" t="n"/>
      <c r="AB238" s="84" t="n"/>
      <c r="AC238" s="18" t="n"/>
      <c r="AD238" s="84" t="n"/>
      <c r="AE238" s="18" t="n"/>
      <c r="AF238" s="84" t="n"/>
      <c r="AG238" s="18" t="n"/>
      <c r="AH238" s="84" t="n"/>
      <c r="AI238" s="22" t="n"/>
      <c r="AJ238" s="84" t="n"/>
      <c r="AK238" s="22" t="n"/>
      <c r="AL238" s="84" t="n"/>
      <c r="AM238" s="22" t="n"/>
      <c r="AN238" s="22" t="n"/>
      <c r="AO238" s="84" t="n"/>
      <c r="AP238" s="84" t="n"/>
      <c r="AQ238" s="85" t="n"/>
      <c r="AR238" s="22" t="n"/>
      <c r="AS238" s="22" t="n"/>
      <c r="AT238" s="22" t="n"/>
      <c r="AU238" s="22" t="n"/>
      <c r="AV238" s="22" t="n"/>
      <c r="AW238" s="22" t="n"/>
      <c r="AX238" s="84" t="n"/>
      <c r="AY238" s="84" t="n"/>
      <c r="AZ238" s="84" t="n"/>
      <c r="BA238" s="84" t="n"/>
      <c r="BB238" s="22" t="n"/>
      <c r="BC238" s="22" t="n"/>
      <c r="BD238" s="85" t="n"/>
      <c r="BE238" s="85" t="n"/>
      <c r="BF238" s="85" t="n"/>
    </row>
    <row r="239">
      <c r="A239" s="83" t="n"/>
      <c r="B239" s="18" t="n"/>
      <c r="C239" s="24" t="n"/>
      <c r="D239" s="18" t="n"/>
      <c r="E239" s="18" t="n"/>
      <c r="F239" s="18" t="n"/>
      <c r="G239" s="84" t="n"/>
      <c r="H239" s="18" t="n"/>
      <c r="I239" s="85" t="n"/>
      <c r="J239" s="18" t="n"/>
      <c r="K239" s="18" t="n"/>
      <c r="L239" s="84" t="n"/>
      <c r="M239" s="18" t="n"/>
      <c r="N239" s="18" t="n"/>
      <c r="O239" s="18" t="n"/>
      <c r="P239" s="84" t="n"/>
      <c r="Q239" s="18" t="n"/>
      <c r="R239" s="18" t="n"/>
      <c r="S239" s="18" t="n"/>
      <c r="T239" s="84" t="n"/>
      <c r="U239" s="18" t="n"/>
      <c r="V239" s="84" t="n"/>
      <c r="W239" s="18" t="n"/>
      <c r="X239" s="84" t="n"/>
      <c r="Y239" s="18" t="n"/>
      <c r="Z239" s="86" t="n"/>
      <c r="AA239" s="18" t="n"/>
      <c r="AB239" s="84" t="n"/>
      <c r="AC239" s="18" t="n"/>
      <c r="AD239" s="84" t="n"/>
      <c r="AE239" s="18" t="n"/>
      <c r="AF239" s="84" t="n"/>
      <c r="AG239" s="18" t="n"/>
      <c r="AH239" s="84" t="n"/>
      <c r="AI239" s="22" t="n"/>
      <c r="AJ239" s="84" t="n"/>
      <c r="AK239" s="22" t="n"/>
      <c r="AL239" s="84" t="n"/>
      <c r="AM239" s="22" t="n"/>
      <c r="AN239" s="22" t="n"/>
      <c r="AO239" s="84" t="n"/>
      <c r="AP239" s="84" t="n"/>
      <c r="AQ239" s="85" t="n"/>
      <c r="AR239" s="22" t="n"/>
      <c r="AS239" s="22" t="n"/>
      <c r="AT239" s="22" t="n"/>
      <c r="AU239" s="22" t="n"/>
      <c r="AV239" s="22" t="n"/>
      <c r="AW239" s="22" t="n"/>
      <c r="AX239" s="84" t="n"/>
      <c r="AY239" s="84" t="n"/>
      <c r="AZ239" s="84" t="n"/>
      <c r="BA239" s="84" t="n"/>
      <c r="BB239" s="22" t="n"/>
      <c r="BC239" s="22" t="n"/>
      <c r="BD239" s="85" t="n"/>
      <c r="BE239" s="85" t="n"/>
      <c r="BF239" s="85" t="n"/>
    </row>
    <row r="240">
      <c r="A240" s="83" t="n"/>
      <c r="B240" s="18" t="n"/>
      <c r="C240" s="24" t="n"/>
      <c r="D240" s="18" t="n"/>
      <c r="E240" s="18" t="n"/>
      <c r="F240" s="18" t="n"/>
      <c r="G240" s="84" t="n"/>
      <c r="H240" s="18" t="n"/>
      <c r="I240" s="85" t="n"/>
      <c r="J240" s="18" t="n"/>
      <c r="K240" s="18" t="n"/>
      <c r="L240" s="84" t="n"/>
      <c r="M240" s="18" t="n"/>
      <c r="N240" s="18" t="n"/>
      <c r="O240" s="18" t="n"/>
      <c r="P240" s="84" t="n"/>
      <c r="Q240" s="18" t="n"/>
      <c r="R240" s="18" t="n"/>
      <c r="S240" s="18" t="n"/>
      <c r="T240" s="84" t="n"/>
      <c r="U240" s="18" t="n"/>
      <c r="V240" s="84" t="n"/>
      <c r="W240" s="18" t="n"/>
      <c r="X240" s="84" t="n"/>
      <c r="Y240" s="18" t="n"/>
      <c r="Z240" s="86" t="n"/>
      <c r="AA240" s="18" t="n"/>
      <c r="AB240" s="84" t="n"/>
      <c r="AC240" s="18" t="n"/>
      <c r="AD240" s="84" t="n"/>
      <c r="AE240" s="18" t="n"/>
      <c r="AF240" s="84" t="n"/>
      <c r="AG240" s="18" t="n"/>
      <c r="AH240" s="84" t="n"/>
      <c r="AI240" s="22" t="n"/>
      <c r="AJ240" s="84" t="n"/>
      <c r="AK240" s="22" t="n"/>
      <c r="AL240" s="84" t="n"/>
      <c r="AM240" s="22" t="n"/>
      <c r="AN240" s="22" t="n"/>
      <c r="AO240" s="84" t="n"/>
      <c r="AP240" s="84" t="n"/>
      <c r="AQ240" s="85" t="n"/>
      <c r="AR240" s="22" t="n"/>
      <c r="AS240" s="22" t="n"/>
      <c r="AT240" s="22" t="n"/>
      <c r="AU240" s="22" t="n"/>
      <c r="AV240" s="22" t="n"/>
      <c r="AW240" s="22" t="n"/>
      <c r="AX240" s="84" t="n"/>
      <c r="AY240" s="84" t="n"/>
      <c r="AZ240" s="84" t="n"/>
      <c r="BA240" s="84" t="n"/>
      <c r="BB240" s="22" t="n"/>
      <c r="BC240" s="22" t="n"/>
      <c r="BD240" s="85" t="n"/>
      <c r="BE240" s="85" t="n"/>
      <c r="BF240" s="85" t="n"/>
    </row>
    <row r="241">
      <c r="A241" s="83" t="n"/>
      <c r="B241" s="18" t="n"/>
      <c r="C241" s="24" t="n"/>
      <c r="D241" s="18" t="n"/>
      <c r="E241" s="18" t="n"/>
      <c r="F241" s="18" t="n"/>
      <c r="G241" s="84" t="n"/>
      <c r="H241" s="18" t="n"/>
      <c r="I241" s="85" t="n"/>
      <c r="J241" s="18" t="n"/>
      <c r="K241" s="18" t="n"/>
      <c r="L241" s="84" t="n"/>
      <c r="M241" s="18" t="n"/>
      <c r="N241" s="18" t="n"/>
      <c r="O241" s="18" t="n"/>
      <c r="P241" s="84" t="n"/>
      <c r="Q241" s="18" t="n"/>
      <c r="R241" s="18" t="n"/>
      <c r="S241" s="18" t="n"/>
      <c r="T241" s="84" t="n"/>
      <c r="U241" s="18" t="n"/>
      <c r="V241" s="84" t="n"/>
      <c r="W241" s="18" t="n"/>
      <c r="X241" s="84" t="n"/>
      <c r="Y241" s="18" t="n"/>
      <c r="Z241" s="86" t="n"/>
      <c r="AA241" s="18" t="n"/>
      <c r="AB241" s="84" t="n"/>
      <c r="AC241" s="18" t="n"/>
      <c r="AD241" s="84" t="n"/>
      <c r="AE241" s="18" t="n"/>
      <c r="AF241" s="84" t="n"/>
      <c r="AG241" s="18" t="n"/>
      <c r="AH241" s="84" t="n"/>
      <c r="AI241" s="22" t="n"/>
      <c r="AJ241" s="84" t="n"/>
      <c r="AK241" s="22" t="n"/>
      <c r="AL241" s="84" t="n"/>
      <c r="AM241" s="22" t="n"/>
      <c r="AN241" s="22" t="n"/>
      <c r="AO241" s="84" t="n"/>
      <c r="AP241" s="84" t="n"/>
      <c r="AQ241" s="85" t="n"/>
      <c r="AR241" s="22" t="n"/>
      <c r="AS241" s="22" t="n"/>
      <c r="AT241" s="22" t="n"/>
      <c r="AU241" s="22" t="n"/>
      <c r="AV241" s="22" t="n"/>
      <c r="AW241" s="22" t="n"/>
      <c r="AX241" s="84" t="n"/>
      <c r="AY241" s="84" t="n"/>
      <c r="AZ241" s="84" t="n"/>
      <c r="BA241" s="84" t="n"/>
      <c r="BB241" s="22" t="n"/>
      <c r="BC241" s="22" t="n"/>
      <c r="BD241" s="85" t="n"/>
      <c r="BE241" s="85" t="n"/>
      <c r="BF241" s="85" t="n"/>
    </row>
    <row r="242">
      <c r="A242" s="83" t="n"/>
      <c r="B242" s="18" t="n"/>
      <c r="C242" s="24" t="n"/>
      <c r="D242" s="18" t="n"/>
      <c r="E242" s="18" t="n"/>
      <c r="F242" s="18" t="n"/>
      <c r="G242" s="84" t="n"/>
      <c r="H242" s="18" t="n"/>
      <c r="I242" s="85" t="n"/>
      <c r="J242" s="18" t="n"/>
      <c r="K242" s="18" t="n"/>
      <c r="L242" s="84" t="n"/>
      <c r="M242" s="18" t="n"/>
      <c r="N242" s="18" t="n"/>
      <c r="O242" s="18" t="n"/>
      <c r="P242" s="84" t="n"/>
      <c r="Q242" s="18" t="n"/>
      <c r="R242" s="18" t="n"/>
      <c r="S242" s="18" t="n"/>
      <c r="T242" s="84" t="n"/>
      <c r="U242" s="18" t="n"/>
      <c r="V242" s="84" t="n"/>
      <c r="W242" s="18" t="n"/>
      <c r="X242" s="84" t="n"/>
      <c r="Y242" s="18" t="n"/>
      <c r="Z242" s="86" t="n"/>
      <c r="AA242" s="18" t="n"/>
      <c r="AB242" s="84" t="n"/>
      <c r="AC242" s="18" t="n"/>
      <c r="AD242" s="84" t="n"/>
      <c r="AE242" s="18" t="n"/>
      <c r="AF242" s="84" t="n"/>
      <c r="AG242" s="18" t="n"/>
      <c r="AH242" s="84" t="n"/>
      <c r="AI242" s="22" t="n"/>
      <c r="AJ242" s="84" t="n"/>
      <c r="AK242" s="22" t="n"/>
      <c r="AL242" s="84" t="n"/>
      <c r="AM242" s="22" t="n"/>
      <c r="AN242" s="22" t="n"/>
      <c r="AO242" s="84" t="n"/>
      <c r="AP242" s="84" t="n"/>
      <c r="AQ242" s="85" t="n"/>
      <c r="AR242" s="22" t="n"/>
      <c r="AS242" s="22" t="n"/>
      <c r="AT242" s="22" t="n"/>
      <c r="AU242" s="22" t="n"/>
      <c r="AV242" s="22" t="n"/>
      <c r="AW242" s="22" t="n"/>
      <c r="AX242" s="84" t="n"/>
      <c r="AY242" s="84" t="n"/>
      <c r="AZ242" s="84" t="n"/>
      <c r="BA242" s="84" t="n"/>
      <c r="BB242" s="22" t="n"/>
      <c r="BC242" s="22" t="n"/>
      <c r="BD242" s="85" t="n"/>
      <c r="BE242" s="85" t="n"/>
      <c r="BF242" s="85" t="n"/>
    </row>
    <row r="243">
      <c r="A243" s="83" t="n"/>
      <c r="B243" s="18" t="n"/>
      <c r="C243" s="24" t="n"/>
      <c r="D243" s="18" t="n"/>
      <c r="E243" s="18" t="n"/>
      <c r="F243" s="18" t="n"/>
      <c r="G243" s="84" t="n"/>
      <c r="H243" s="18" t="n"/>
      <c r="I243" s="85" t="n"/>
      <c r="J243" s="18" t="n"/>
      <c r="K243" s="18" t="n"/>
      <c r="L243" s="84" t="n"/>
      <c r="M243" s="18" t="n"/>
      <c r="N243" s="18" t="n"/>
      <c r="O243" s="18" t="n"/>
      <c r="P243" s="84" t="n"/>
      <c r="Q243" s="18" t="n"/>
      <c r="R243" s="18" t="n"/>
      <c r="S243" s="18" t="n"/>
      <c r="T243" s="84" t="n"/>
      <c r="U243" s="18" t="n"/>
      <c r="V243" s="84" t="n"/>
      <c r="W243" s="18" t="n"/>
      <c r="X243" s="84" t="n"/>
      <c r="Y243" s="18" t="n"/>
      <c r="Z243" s="86" t="n"/>
      <c r="AA243" s="18" t="n"/>
      <c r="AB243" s="84" t="n"/>
      <c r="AC243" s="18" t="n"/>
      <c r="AD243" s="84" t="n"/>
      <c r="AE243" s="18" t="n"/>
      <c r="AF243" s="84" t="n"/>
      <c r="AG243" s="18" t="n"/>
      <c r="AH243" s="84" t="n"/>
      <c r="AI243" s="22" t="n"/>
      <c r="AJ243" s="84" t="n"/>
      <c r="AK243" s="22" t="n"/>
      <c r="AL243" s="84" t="n"/>
      <c r="AM243" s="22" t="n"/>
      <c r="AN243" s="22" t="n"/>
      <c r="AO243" s="84" t="n"/>
      <c r="AP243" s="84" t="n"/>
      <c r="AQ243" s="85" t="n"/>
      <c r="AR243" s="22" t="n"/>
      <c r="AS243" s="22" t="n"/>
      <c r="AT243" s="22" t="n"/>
      <c r="AU243" s="22" t="n"/>
      <c r="AV243" s="22" t="n"/>
      <c r="AW243" s="22" t="n"/>
      <c r="AX243" s="84" t="n"/>
      <c r="AY243" s="84" t="n"/>
      <c r="AZ243" s="84" t="n"/>
      <c r="BA243" s="84" t="n"/>
      <c r="BB243" s="22" t="n"/>
      <c r="BC243" s="22" t="n"/>
      <c r="BD243" s="85" t="n"/>
      <c r="BE243" s="85" t="n"/>
      <c r="BF243" s="85" t="n"/>
    </row>
    <row r="244">
      <c r="A244" s="83" t="n"/>
      <c r="B244" s="18" t="n"/>
      <c r="C244" s="24" t="n"/>
      <c r="D244" s="18" t="n"/>
      <c r="E244" s="18" t="n"/>
      <c r="F244" s="18" t="n"/>
      <c r="G244" s="84" t="n"/>
      <c r="H244" s="18" t="n"/>
      <c r="I244" s="85" t="n"/>
      <c r="J244" s="18" t="n"/>
      <c r="K244" s="18" t="n"/>
      <c r="L244" s="84" t="n"/>
      <c r="M244" s="18" t="n"/>
      <c r="N244" s="18" t="n"/>
      <c r="O244" s="18" t="n"/>
      <c r="P244" s="84" t="n"/>
      <c r="Q244" s="18" t="n"/>
      <c r="R244" s="18" t="n"/>
      <c r="S244" s="18" t="n"/>
      <c r="T244" s="84" t="n"/>
      <c r="U244" s="18" t="n"/>
      <c r="V244" s="84" t="n"/>
      <c r="W244" s="18" t="n"/>
      <c r="X244" s="84" t="n"/>
      <c r="Y244" s="18" t="n"/>
      <c r="Z244" s="86" t="n"/>
      <c r="AA244" s="18" t="n"/>
      <c r="AB244" s="84" t="n"/>
      <c r="AC244" s="18" t="n"/>
      <c r="AD244" s="84" t="n"/>
      <c r="AE244" s="18" t="n"/>
      <c r="AF244" s="84" t="n"/>
      <c r="AG244" s="18" t="n"/>
      <c r="AH244" s="84" t="n"/>
      <c r="AI244" s="22" t="n"/>
      <c r="AJ244" s="84" t="n"/>
      <c r="AK244" s="22" t="n"/>
      <c r="AL244" s="84" t="n"/>
      <c r="AM244" s="22" t="n"/>
      <c r="AN244" s="22" t="n"/>
      <c r="AO244" s="84" t="n"/>
      <c r="AP244" s="84" t="n"/>
      <c r="AQ244" s="85" t="n"/>
      <c r="AR244" s="22" t="n"/>
      <c r="AS244" s="22" t="n"/>
      <c r="AT244" s="22" t="n"/>
      <c r="AU244" s="22" t="n"/>
      <c r="AV244" s="22" t="n"/>
      <c r="AW244" s="22" t="n"/>
      <c r="AX244" s="84" t="n"/>
      <c r="AY244" s="84" t="n"/>
      <c r="AZ244" s="84" t="n"/>
      <c r="BA244" s="84" t="n"/>
      <c r="BB244" s="22" t="n"/>
      <c r="BC244" s="22" t="n"/>
      <c r="BD244" s="85" t="n"/>
      <c r="BE244" s="85" t="n"/>
      <c r="BF244" s="85" t="n"/>
    </row>
    <row r="245">
      <c r="A245" s="83" t="n"/>
      <c r="B245" s="18" t="n"/>
      <c r="C245" s="24" t="n"/>
      <c r="D245" s="18" t="n"/>
      <c r="E245" s="18" t="n"/>
      <c r="F245" s="18" t="n"/>
      <c r="G245" s="84" t="n"/>
      <c r="H245" s="18" t="n"/>
      <c r="I245" s="85" t="n"/>
      <c r="J245" s="18" t="n"/>
      <c r="K245" s="18" t="n"/>
      <c r="L245" s="84" t="n"/>
      <c r="M245" s="18" t="n"/>
      <c r="N245" s="18" t="n"/>
      <c r="O245" s="18" t="n"/>
      <c r="P245" s="84" t="n"/>
      <c r="Q245" s="18" t="n"/>
      <c r="R245" s="18" t="n"/>
      <c r="S245" s="18" t="n"/>
      <c r="T245" s="84" t="n"/>
      <c r="U245" s="18" t="n"/>
      <c r="V245" s="84" t="n"/>
      <c r="W245" s="18" t="n"/>
      <c r="X245" s="84" t="n"/>
      <c r="Y245" s="18" t="n"/>
      <c r="Z245" s="86" t="n"/>
      <c r="AA245" s="18" t="n"/>
      <c r="AB245" s="84" t="n"/>
      <c r="AC245" s="18" t="n"/>
      <c r="AD245" s="84" t="n"/>
      <c r="AE245" s="18" t="n"/>
      <c r="AF245" s="84" t="n"/>
      <c r="AG245" s="18" t="n"/>
      <c r="AH245" s="84" t="n"/>
      <c r="AI245" s="22" t="n"/>
      <c r="AJ245" s="84" t="n"/>
      <c r="AK245" s="22" t="n"/>
      <c r="AL245" s="84" t="n"/>
      <c r="AM245" s="22" t="n"/>
      <c r="AN245" s="22" t="n"/>
      <c r="AO245" s="84" t="n"/>
      <c r="AP245" s="84" t="n"/>
      <c r="AQ245" s="85" t="n"/>
      <c r="AR245" s="22" t="n"/>
      <c r="AS245" s="22" t="n"/>
      <c r="AT245" s="22" t="n"/>
      <c r="AU245" s="22" t="n"/>
      <c r="AV245" s="22" t="n"/>
      <c r="AW245" s="22" t="n"/>
      <c r="AX245" s="84" t="n"/>
      <c r="AY245" s="84" t="n"/>
      <c r="AZ245" s="84" t="n"/>
      <c r="BA245" s="84" t="n"/>
      <c r="BB245" s="22" t="n"/>
      <c r="BC245" s="22" t="n"/>
      <c r="BD245" s="85" t="n"/>
      <c r="BE245" s="85" t="n"/>
      <c r="BF245" s="85" t="n"/>
    </row>
    <row r="246">
      <c r="A246" s="83" t="n"/>
      <c r="B246" s="18" t="n"/>
      <c r="C246" s="24" t="n"/>
      <c r="D246" s="18" t="n"/>
      <c r="E246" s="18" t="n"/>
      <c r="F246" s="18" t="n"/>
      <c r="G246" s="84" t="n"/>
      <c r="H246" s="18" t="n"/>
      <c r="I246" s="85" t="n"/>
      <c r="J246" s="18" t="n"/>
      <c r="K246" s="18" t="n"/>
      <c r="L246" s="84" t="n"/>
      <c r="M246" s="18" t="n"/>
      <c r="N246" s="18" t="n"/>
      <c r="O246" s="18" t="n"/>
      <c r="P246" s="84" t="n"/>
      <c r="Q246" s="18" t="n"/>
      <c r="R246" s="18" t="n"/>
      <c r="S246" s="18" t="n"/>
      <c r="T246" s="84" t="n"/>
      <c r="U246" s="18" t="n"/>
      <c r="V246" s="84" t="n"/>
      <c r="W246" s="18" t="n"/>
      <c r="X246" s="84" t="n"/>
      <c r="Y246" s="18" t="n"/>
      <c r="Z246" s="86" t="n"/>
      <c r="AA246" s="18" t="n"/>
      <c r="AB246" s="84" t="n"/>
      <c r="AC246" s="18" t="n"/>
      <c r="AD246" s="84" t="n"/>
      <c r="AE246" s="18" t="n"/>
      <c r="AF246" s="84" t="n"/>
      <c r="AG246" s="18" t="n"/>
      <c r="AH246" s="84" t="n"/>
      <c r="AI246" s="22" t="n"/>
      <c r="AJ246" s="84" t="n"/>
      <c r="AK246" s="22" t="n"/>
      <c r="AL246" s="84" t="n"/>
      <c r="AM246" s="22" t="n"/>
      <c r="AN246" s="22" t="n"/>
      <c r="AO246" s="84" t="n"/>
      <c r="AP246" s="84" t="n"/>
      <c r="AQ246" s="85" t="n"/>
      <c r="AR246" s="22" t="n"/>
      <c r="AS246" s="22" t="n"/>
      <c r="AT246" s="22" t="n"/>
      <c r="AU246" s="22" t="n"/>
      <c r="AV246" s="22" t="n"/>
      <c r="AW246" s="22" t="n"/>
      <c r="AX246" s="84" t="n"/>
      <c r="AY246" s="84" t="n"/>
      <c r="AZ246" s="84" t="n"/>
      <c r="BA246" s="84" t="n"/>
      <c r="BB246" s="22" t="n"/>
      <c r="BC246" s="22" t="n"/>
      <c r="BD246" s="85" t="n"/>
      <c r="BE246" s="85" t="n"/>
      <c r="BF246" s="85" t="n"/>
    </row>
    <row r="247">
      <c r="A247" s="83" t="n"/>
      <c r="B247" s="18" t="n"/>
      <c r="C247" s="24" t="n"/>
      <c r="D247" s="18" t="n"/>
      <c r="E247" s="18" t="n"/>
      <c r="F247" s="18" t="n"/>
      <c r="G247" s="84" t="n"/>
      <c r="H247" s="18" t="n"/>
      <c r="I247" s="85" t="n"/>
      <c r="J247" s="18" t="n"/>
      <c r="K247" s="18" t="n"/>
      <c r="L247" s="84" t="n"/>
      <c r="M247" s="18" t="n"/>
      <c r="N247" s="18" t="n"/>
      <c r="O247" s="18" t="n"/>
      <c r="P247" s="84" t="n"/>
      <c r="Q247" s="18" t="n"/>
      <c r="R247" s="18" t="n"/>
      <c r="S247" s="18" t="n"/>
      <c r="T247" s="84" t="n"/>
      <c r="U247" s="18" t="n"/>
      <c r="V247" s="84" t="n"/>
      <c r="W247" s="18" t="n"/>
      <c r="X247" s="84" t="n"/>
      <c r="Y247" s="18" t="n"/>
      <c r="Z247" s="86" t="n"/>
      <c r="AA247" s="18" t="n"/>
      <c r="AB247" s="84" t="n"/>
      <c r="AC247" s="18" t="n"/>
      <c r="AD247" s="84" t="n"/>
      <c r="AE247" s="18" t="n"/>
      <c r="AF247" s="84" t="n"/>
      <c r="AG247" s="18" t="n"/>
      <c r="AH247" s="84" t="n"/>
      <c r="AI247" s="22" t="n"/>
      <c r="AJ247" s="84" t="n"/>
      <c r="AK247" s="22" t="n"/>
      <c r="AL247" s="84" t="n"/>
      <c r="AM247" s="22" t="n"/>
      <c r="AN247" s="22" t="n"/>
      <c r="AO247" s="84" t="n"/>
      <c r="AP247" s="84" t="n"/>
      <c r="AQ247" s="85" t="n"/>
      <c r="AR247" s="22" t="n"/>
      <c r="AS247" s="22" t="n"/>
      <c r="AT247" s="22" t="n"/>
      <c r="AU247" s="22" t="n"/>
      <c r="AV247" s="22" t="n"/>
      <c r="AW247" s="22" t="n"/>
      <c r="AX247" s="84" t="n"/>
      <c r="AY247" s="84" t="n"/>
      <c r="AZ247" s="84" t="n"/>
      <c r="BA247" s="84" t="n"/>
      <c r="BB247" s="22" t="n"/>
      <c r="BC247" s="22" t="n"/>
      <c r="BD247" s="85" t="n"/>
      <c r="BE247" s="85" t="n"/>
      <c r="BF247" s="85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7" t="inlineStr">
        <is>
          <t>序号</t>
        </is>
      </c>
      <c r="B1" s="87" t="inlineStr">
        <is>
          <t>按日</t>
        </is>
      </c>
      <c r="C1" s="87" t="inlineStr">
        <is>
          <t>线索总量</t>
        </is>
      </c>
      <c r="D1" s="87" t="inlineStr">
        <is>
          <t>应回访线索量</t>
        </is>
      </c>
      <c r="E1" s="87" t="inlineStr">
        <is>
          <t>按时回访量</t>
        </is>
      </c>
      <c r="F1" s="87" t="inlineStr">
        <is>
          <t>超时回访量</t>
        </is>
      </c>
      <c r="G1" s="87" t="inlineStr">
        <is>
          <t>有效线索量</t>
        </is>
      </c>
      <c r="H1" s="87" t="inlineStr">
        <is>
          <t>到店量</t>
        </is>
      </c>
      <c r="I1" s="87" t="inlineStr">
        <is>
          <t>订单量</t>
        </is>
      </c>
      <c r="J1" s="87" t="inlineStr">
        <is>
          <t>成交量</t>
        </is>
      </c>
      <c r="K1" s="87" t="inlineStr">
        <is>
          <t>总成交量</t>
        </is>
      </c>
      <c r="L1" s="87" t="inlineStr">
        <is>
          <t>战败线索量</t>
        </is>
      </c>
      <c r="M1" s="87" t="inlineStr">
        <is>
          <t>线索有效率</t>
        </is>
      </c>
      <c r="N1" s="87" t="inlineStr">
        <is>
          <t>有效线索到店率</t>
        </is>
      </c>
      <c r="O1" s="87" t="inlineStr">
        <is>
          <t>有效线索下订率</t>
        </is>
      </c>
      <c r="P1" s="87" t="inlineStr">
        <is>
          <t>到店成交率</t>
        </is>
      </c>
      <c r="Q1" s="87" t="inlineStr">
        <is>
          <t>有效线索转化率</t>
        </is>
      </c>
      <c r="R1" s="87" t="inlineStr">
        <is>
          <t>线索到店率</t>
        </is>
      </c>
      <c r="S1" s="87" t="inlineStr">
        <is>
          <t>线索下订率</t>
        </is>
      </c>
      <c r="T1" s="87" t="inlineStr">
        <is>
          <t>线索转化率</t>
        </is>
      </c>
      <c r="U1" s="87" t="inlineStr">
        <is>
          <t>数营成交贡献度</t>
        </is>
      </c>
    </row>
    <row r="2">
      <c r="A2" s="88" t="inlineStr">
        <is>
          <t>1</t>
        </is>
      </c>
      <c r="B2" s="88" t="inlineStr">
        <is>
          <t>合计</t>
        </is>
      </c>
      <c r="C2" s="89" t="n">
        <v>765084</v>
      </c>
      <c r="D2" s="89" t="n">
        <v>765487</v>
      </c>
      <c r="E2" s="89" t="n">
        <v>709981</v>
      </c>
      <c r="F2" s="89" t="n">
        <v>55506</v>
      </c>
      <c r="G2" s="89" t="n">
        <v>556626</v>
      </c>
      <c r="H2" s="89" t="n">
        <v>40804</v>
      </c>
      <c r="I2" s="89" t="n">
        <v>21339</v>
      </c>
      <c r="J2" s="89" t="n">
        <v>14189</v>
      </c>
      <c r="K2" s="90" t="n">
        <v>28157</v>
      </c>
      <c r="L2" s="89" t="n">
        <v>50575</v>
      </c>
      <c r="M2" s="88" t="inlineStr">
        <is>
          <t>72.75%</t>
        </is>
      </c>
      <c r="N2" s="88" t="inlineStr">
        <is>
          <t>7.33%</t>
        </is>
      </c>
      <c r="O2" s="88" t="inlineStr">
        <is>
          <t>3.83%</t>
        </is>
      </c>
      <c r="P2" s="88" t="inlineStr">
        <is>
          <t>34.77%</t>
        </is>
      </c>
      <c r="Q2" s="88" t="inlineStr">
        <is>
          <t>2.55%</t>
        </is>
      </c>
      <c r="R2" s="88" t="inlineStr">
        <is>
          <t>5.33%</t>
        </is>
      </c>
      <c r="S2" s="88" t="inlineStr">
        <is>
          <t>2.79%</t>
        </is>
      </c>
      <c r="T2" s="88" t="inlineStr">
        <is>
          <t>1.85%</t>
        </is>
      </c>
      <c r="U2" s="88" t="inlineStr">
        <is>
          <t>50.39%</t>
        </is>
      </c>
    </row>
    <row r="3">
      <c r="A3" s="88" t="inlineStr">
        <is>
          <t>2</t>
        </is>
      </c>
      <c r="B3" s="91" t="n">
        <v>46113</v>
      </c>
      <c r="C3" s="89" t="n">
        <v>16985</v>
      </c>
      <c r="D3" s="89" t="n">
        <v>17373</v>
      </c>
      <c r="E3" s="89" t="n">
        <v>16321</v>
      </c>
      <c r="F3" s="89" t="n">
        <v>1052</v>
      </c>
      <c r="G3" s="89" t="n">
        <v>10134</v>
      </c>
      <c r="H3" s="89" t="n">
        <v>412</v>
      </c>
      <c r="I3" s="89" t="n">
        <v>44</v>
      </c>
      <c r="J3" s="89" t="n">
        <v>25</v>
      </c>
      <c r="K3" s="90" t="n">
        <v>344</v>
      </c>
      <c r="L3" s="89" t="n">
        <v>1640</v>
      </c>
      <c r="M3" s="88" t="inlineStr">
        <is>
          <t>59.66%</t>
        </is>
      </c>
      <c r="N3" s="88" t="inlineStr">
        <is>
          <t>4.07%</t>
        </is>
      </c>
      <c r="O3" s="88" t="inlineStr">
        <is>
          <t>0.43%</t>
        </is>
      </c>
      <c r="P3" s="88" t="inlineStr">
        <is>
          <t>6.07%</t>
        </is>
      </c>
      <c r="Q3" s="88" t="inlineStr">
        <is>
          <t>0.25%</t>
        </is>
      </c>
      <c r="R3" s="88" t="inlineStr">
        <is>
          <t>2.43%</t>
        </is>
      </c>
      <c r="S3" s="88" t="inlineStr">
        <is>
          <t>0.26%</t>
        </is>
      </c>
      <c r="T3" s="88" t="inlineStr">
        <is>
          <t>0.15%</t>
        </is>
      </c>
      <c r="U3" s="88" t="inlineStr">
        <is>
          <t>7.27%</t>
        </is>
      </c>
    </row>
    <row r="4">
      <c r="A4" s="88" t="inlineStr">
        <is>
          <t>3</t>
        </is>
      </c>
      <c r="B4" s="91" t="n">
        <v>46114</v>
      </c>
      <c r="C4" s="89" t="n">
        <v>16896</v>
      </c>
      <c r="D4" s="89" t="n">
        <v>17010</v>
      </c>
      <c r="E4" s="89" t="n">
        <v>15531</v>
      </c>
      <c r="F4" s="89" t="n">
        <v>1479</v>
      </c>
      <c r="G4" s="89" t="n">
        <v>10399</v>
      </c>
      <c r="H4" s="89" t="n">
        <v>367</v>
      </c>
      <c r="I4" s="89" t="n">
        <v>41</v>
      </c>
      <c r="J4" s="89" t="n">
        <v>14</v>
      </c>
      <c r="K4" s="90" t="n">
        <v>187</v>
      </c>
      <c r="L4" s="89" t="n">
        <v>1615</v>
      </c>
      <c r="M4" s="88" t="inlineStr">
        <is>
          <t>61.55%</t>
        </is>
      </c>
      <c r="N4" s="88" t="inlineStr">
        <is>
          <t>3.53%</t>
        </is>
      </c>
      <c r="O4" s="88" t="inlineStr">
        <is>
          <t>0.39%</t>
        </is>
      </c>
      <c r="P4" s="88" t="inlineStr">
        <is>
          <t>3.81%</t>
        </is>
      </c>
      <c r="Q4" s="88" t="inlineStr">
        <is>
          <t>0.13%</t>
        </is>
      </c>
      <c r="R4" s="88" t="inlineStr">
        <is>
          <t>2.17%</t>
        </is>
      </c>
      <c r="S4" s="88" t="inlineStr">
        <is>
          <t>0.24%</t>
        </is>
      </c>
      <c r="T4" s="88" t="inlineStr">
        <is>
          <t>0.08%</t>
        </is>
      </c>
      <c r="U4" s="88" t="inlineStr">
        <is>
          <t>7.49%</t>
        </is>
      </c>
    </row>
    <row r="5">
      <c r="A5" s="88" t="inlineStr">
        <is>
          <t>4</t>
        </is>
      </c>
      <c r="B5" s="91" t="n">
        <v>46115</v>
      </c>
      <c r="C5" s="89" t="n">
        <v>19007</v>
      </c>
      <c r="D5" s="89" t="n">
        <v>18512</v>
      </c>
      <c r="E5" s="89" t="n">
        <v>17351</v>
      </c>
      <c r="F5" s="89" t="n">
        <v>1161</v>
      </c>
      <c r="G5" s="89" t="n">
        <v>11694</v>
      </c>
      <c r="H5" s="89" t="n">
        <v>425</v>
      </c>
      <c r="I5" s="89" t="n">
        <v>45</v>
      </c>
      <c r="J5" s="89" t="n">
        <v>-10</v>
      </c>
      <c r="K5" s="90" t="n">
        <v>178</v>
      </c>
      <c r="L5" s="89" t="n">
        <v>2034</v>
      </c>
      <c r="M5" s="88" t="inlineStr">
        <is>
          <t>61.52%</t>
        </is>
      </c>
      <c r="N5" s="88" t="inlineStr">
        <is>
          <t>3.63%</t>
        </is>
      </c>
      <c r="O5" s="88" t="inlineStr">
        <is>
          <t>0.38%</t>
        </is>
      </c>
      <c r="P5" s="88" t="inlineStr">
        <is>
          <t>-2.35%</t>
        </is>
      </c>
      <c r="Q5" s="88" t="inlineStr">
        <is>
          <t>-0.09%</t>
        </is>
      </c>
      <c r="R5" s="88" t="inlineStr">
        <is>
          <t>2.24%</t>
        </is>
      </c>
      <c r="S5" s="88" t="inlineStr">
        <is>
          <t>0.24%</t>
        </is>
      </c>
      <c r="T5" s="88" t="inlineStr">
        <is>
          <t>-0.05%</t>
        </is>
      </c>
      <c r="U5" s="88" t="inlineStr">
        <is>
          <t>-5.62%</t>
        </is>
      </c>
    </row>
    <row r="6">
      <c r="A6" s="88" t="inlineStr">
        <is>
          <t>5</t>
        </is>
      </c>
      <c r="B6" s="91" t="n">
        <v>46116</v>
      </c>
      <c r="C6" s="89" t="n">
        <v>19897</v>
      </c>
      <c r="D6" s="89" t="n">
        <v>18960</v>
      </c>
      <c r="E6" s="89" t="n">
        <v>17654</v>
      </c>
      <c r="F6" s="89" t="n">
        <v>1306</v>
      </c>
      <c r="G6" s="89" t="n">
        <v>12732</v>
      </c>
      <c r="H6" s="89" t="n">
        <v>652</v>
      </c>
      <c r="I6" s="89" t="n">
        <v>42</v>
      </c>
      <c r="J6" s="89" t="n">
        <v>10</v>
      </c>
      <c r="K6" s="90" t="n">
        <v>142</v>
      </c>
      <c r="L6" s="89" t="n">
        <v>2177</v>
      </c>
      <c r="M6" s="88" t="inlineStr">
        <is>
          <t>63.99%</t>
        </is>
      </c>
      <c r="N6" s="88" t="inlineStr">
        <is>
          <t>5.12%</t>
        </is>
      </c>
      <c r="O6" s="88" t="inlineStr">
        <is>
          <t>0.33%</t>
        </is>
      </c>
      <c r="P6" s="88" t="inlineStr">
        <is>
          <t>1.53%</t>
        </is>
      </c>
      <c r="Q6" s="88" t="inlineStr">
        <is>
          <t>0.08%</t>
        </is>
      </c>
      <c r="R6" s="88" t="inlineStr">
        <is>
          <t>3.28%</t>
        </is>
      </c>
      <c r="S6" s="88" t="inlineStr">
        <is>
          <t>0.21%</t>
        </is>
      </c>
      <c r="T6" s="88" t="inlineStr">
        <is>
          <t>0.05%</t>
        </is>
      </c>
      <c r="U6" s="88" t="inlineStr">
        <is>
          <t>7.04%</t>
        </is>
      </c>
    </row>
    <row r="7">
      <c r="A7" s="88" t="inlineStr">
        <is>
          <t>6</t>
        </is>
      </c>
      <c r="B7" s="91" t="n">
        <v>46117</v>
      </c>
      <c r="C7" s="89" t="n">
        <v>22453</v>
      </c>
      <c r="D7" s="89" t="n">
        <v>20803</v>
      </c>
      <c r="E7" s="89" t="n">
        <v>19547</v>
      </c>
      <c r="F7" s="89" t="n">
        <v>1256</v>
      </c>
      <c r="G7" s="89" t="n">
        <v>14504</v>
      </c>
      <c r="H7" s="89" t="n">
        <v>845</v>
      </c>
      <c r="I7" s="89" t="n">
        <v>39</v>
      </c>
      <c r="J7" s="89" t="n">
        <v>6</v>
      </c>
      <c r="K7" s="90" t="n">
        <v>93</v>
      </c>
      <c r="L7" s="89" t="n">
        <v>2309</v>
      </c>
      <c r="M7" s="88" t="inlineStr">
        <is>
          <t>64.60%</t>
        </is>
      </c>
      <c r="N7" s="88" t="inlineStr">
        <is>
          <t>5.83%</t>
        </is>
      </c>
      <c r="O7" s="88" t="inlineStr">
        <is>
          <t>0.27%</t>
        </is>
      </c>
      <c r="P7" s="88" t="inlineStr">
        <is>
          <t>0.71%</t>
        </is>
      </c>
      <c r="Q7" s="88" t="inlineStr">
        <is>
          <t>0.04%</t>
        </is>
      </c>
      <c r="R7" s="88" t="inlineStr">
        <is>
          <t>3.76%</t>
        </is>
      </c>
      <c r="S7" s="88" t="inlineStr">
        <is>
          <t>0.17%</t>
        </is>
      </c>
      <c r="T7" s="88" t="inlineStr">
        <is>
          <t>0.03%</t>
        </is>
      </c>
      <c r="U7" s="88" t="inlineStr">
        <is>
          <t>6.45%</t>
        </is>
      </c>
    </row>
    <row r="8">
      <c r="A8" s="88" t="inlineStr">
        <is>
          <t>7</t>
        </is>
      </c>
      <c r="B8" s="91" t="n">
        <v>46118</v>
      </c>
      <c r="C8" s="89" t="n">
        <v>21349</v>
      </c>
      <c r="D8" s="89" t="n">
        <v>21742</v>
      </c>
      <c r="E8" s="89" t="n">
        <v>20364</v>
      </c>
      <c r="F8" s="89" t="n">
        <v>1378</v>
      </c>
      <c r="G8" s="89" t="n">
        <v>13669</v>
      </c>
      <c r="H8" s="89" t="n">
        <v>680</v>
      </c>
      <c r="I8" s="89" t="n">
        <v>79</v>
      </c>
      <c r="J8" s="89" t="n">
        <v>23</v>
      </c>
      <c r="K8" s="90" t="n">
        <v>125</v>
      </c>
      <c r="L8" s="89" t="n">
        <v>2216</v>
      </c>
      <c r="M8" s="88" t="inlineStr">
        <is>
          <t>64.03%</t>
        </is>
      </c>
      <c r="N8" s="88" t="inlineStr">
        <is>
          <t>4.97%</t>
        </is>
      </c>
      <c r="O8" s="88" t="inlineStr">
        <is>
          <t>0.58%</t>
        </is>
      </c>
      <c r="P8" s="88" t="inlineStr">
        <is>
          <t>3.38%</t>
        </is>
      </c>
      <c r="Q8" s="88" t="inlineStr">
        <is>
          <t>0.17%</t>
        </is>
      </c>
      <c r="R8" s="88" t="inlineStr">
        <is>
          <t>3.19%</t>
        </is>
      </c>
      <c r="S8" s="88" t="inlineStr">
        <is>
          <t>0.37%</t>
        </is>
      </c>
      <c r="T8" s="88" t="inlineStr">
        <is>
          <t>0.11%</t>
        </is>
      </c>
      <c r="U8" s="88" t="inlineStr">
        <is>
          <t>18.40%</t>
        </is>
      </c>
    </row>
    <row r="9">
      <c r="A9" s="88" t="inlineStr">
        <is>
          <t>8</t>
        </is>
      </c>
      <c r="B9" s="91" t="n">
        <v>46119</v>
      </c>
      <c r="C9" s="89" t="n">
        <v>20276</v>
      </c>
      <c r="D9" s="89" t="n">
        <v>22157</v>
      </c>
      <c r="E9" s="89" t="n">
        <v>20661</v>
      </c>
      <c r="F9" s="89" t="n">
        <v>1496</v>
      </c>
      <c r="G9" s="89" t="n">
        <v>12995</v>
      </c>
      <c r="H9" s="89" t="n">
        <v>522</v>
      </c>
      <c r="I9" s="89" t="n">
        <v>89</v>
      </c>
      <c r="J9" s="89" t="n">
        <v>0</v>
      </c>
      <c r="K9" s="90" t="n">
        <v>188</v>
      </c>
      <c r="L9" s="89" t="n">
        <v>1949</v>
      </c>
      <c r="M9" s="88" t="inlineStr">
        <is>
          <t>64.09%</t>
        </is>
      </c>
      <c r="N9" s="88" t="inlineStr">
        <is>
          <t>4.02%</t>
        </is>
      </c>
      <c r="O9" s="88" t="inlineStr">
        <is>
          <t>0.68%</t>
        </is>
      </c>
      <c r="P9" s="88" t="inlineStr">
        <is>
          <t>0.00%</t>
        </is>
      </c>
      <c r="Q9" s="88" t="inlineStr">
        <is>
          <t>0.00%</t>
        </is>
      </c>
      <c r="R9" s="88" t="inlineStr">
        <is>
          <t>2.57%</t>
        </is>
      </c>
      <c r="S9" s="88" t="inlineStr">
        <is>
          <t>0.44%</t>
        </is>
      </c>
      <c r="T9" s="88" t="inlineStr">
        <is>
          <t>0.00%</t>
        </is>
      </c>
      <c r="U9" s="88" t="inlineStr">
        <is>
          <t>0.00%</t>
        </is>
      </c>
    </row>
    <row r="10">
      <c r="A10" s="88" t="inlineStr">
        <is>
          <t>9</t>
        </is>
      </c>
      <c r="B10" s="91" t="n">
        <v>46120</v>
      </c>
      <c r="C10" s="89" t="n">
        <v>19531</v>
      </c>
      <c r="D10" s="89" t="n">
        <v>19795</v>
      </c>
      <c r="E10" s="89" t="n">
        <v>18576</v>
      </c>
      <c r="F10" s="89" t="n">
        <v>1219</v>
      </c>
      <c r="G10" s="89" t="n">
        <v>12736</v>
      </c>
      <c r="H10" s="89" t="n">
        <v>525</v>
      </c>
      <c r="I10" s="89" t="n">
        <v>117</v>
      </c>
      <c r="J10" s="89" t="n">
        <v>17</v>
      </c>
      <c r="K10" s="90" t="n">
        <v>191</v>
      </c>
      <c r="L10" s="89" t="n">
        <v>2022</v>
      </c>
      <c r="M10" s="88" t="inlineStr">
        <is>
          <t>65.21%</t>
        </is>
      </c>
      <c r="N10" s="88" t="inlineStr">
        <is>
          <t>4.12%</t>
        </is>
      </c>
      <c r="O10" s="88" t="inlineStr">
        <is>
          <t>0.92%</t>
        </is>
      </c>
      <c r="P10" s="88" t="inlineStr">
        <is>
          <t>3.24%</t>
        </is>
      </c>
      <c r="Q10" s="88" t="inlineStr">
        <is>
          <t>0.13%</t>
        </is>
      </c>
      <c r="R10" s="88" t="inlineStr">
        <is>
          <t>2.69%</t>
        </is>
      </c>
      <c r="S10" s="88" t="inlineStr">
        <is>
          <t>0.60%</t>
        </is>
      </c>
      <c r="T10" s="88" t="inlineStr">
        <is>
          <t>0.09%</t>
        </is>
      </c>
      <c r="U10" s="88" t="inlineStr">
        <is>
          <t>8.90%</t>
        </is>
      </c>
    </row>
    <row r="11">
      <c r="A11" s="88" t="inlineStr">
        <is>
          <t>10</t>
        </is>
      </c>
      <c r="B11" s="91" t="n">
        <v>46121</v>
      </c>
      <c r="C11" s="89" t="n">
        <v>19630</v>
      </c>
      <c r="D11" s="89" t="n">
        <v>19081</v>
      </c>
      <c r="E11" s="89" t="n">
        <v>17832</v>
      </c>
      <c r="F11" s="89" t="n">
        <v>1249</v>
      </c>
      <c r="G11" s="89" t="n">
        <v>12929</v>
      </c>
      <c r="H11" s="89" t="n">
        <v>441</v>
      </c>
      <c r="I11" s="89" t="n">
        <v>78</v>
      </c>
      <c r="J11" s="89" t="n">
        <v>-18</v>
      </c>
      <c r="K11" s="90" t="n">
        <v>112</v>
      </c>
      <c r="L11" s="89" t="n">
        <v>1873</v>
      </c>
      <c r="M11" s="88" t="inlineStr">
        <is>
          <t>65.86%</t>
        </is>
      </c>
      <c r="N11" s="88" t="inlineStr">
        <is>
          <t>3.41%</t>
        </is>
      </c>
      <c r="O11" s="88" t="inlineStr">
        <is>
          <t>0.60%</t>
        </is>
      </c>
      <c r="P11" s="88" t="inlineStr">
        <is>
          <t>-4.08%</t>
        </is>
      </c>
      <c r="Q11" s="88" t="inlineStr">
        <is>
          <t>-0.14%</t>
        </is>
      </c>
      <c r="R11" s="88" t="inlineStr">
        <is>
          <t>2.25%</t>
        </is>
      </c>
      <c r="S11" s="88" t="inlineStr">
        <is>
          <t>0.40%</t>
        </is>
      </c>
      <c r="T11" s="88" t="inlineStr">
        <is>
          <t>-0.09%</t>
        </is>
      </c>
      <c r="U11" s="88" t="inlineStr">
        <is>
          <t>-16.07%</t>
        </is>
      </c>
    </row>
    <row r="12">
      <c r="A12" s="88" t="inlineStr">
        <is>
          <t>11</t>
        </is>
      </c>
      <c r="B12" s="91" t="n">
        <v>46122</v>
      </c>
      <c r="C12" s="89" t="n">
        <v>17886</v>
      </c>
      <c r="D12" s="89" t="n">
        <v>18301</v>
      </c>
      <c r="E12" s="89" t="n">
        <v>17032</v>
      </c>
      <c r="F12" s="89" t="n">
        <v>1269</v>
      </c>
      <c r="G12" s="89" t="n">
        <v>11885</v>
      </c>
      <c r="H12" s="89" t="n">
        <v>449</v>
      </c>
      <c r="I12" s="89" t="n">
        <v>105</v>
      </c>
      <c r="J12" s="89" t="n">
        <v>12</v>
      </c>
      <c r="K12" s="90" t="n">
        <v>226</v>
      </c>
      <c r="L12" s="89" t="n">
        <v>1720</v>
      </c>
      <c r="M12" s="88" t="inlineStr">
        <is>
          <t>66.45%</t>
        </is>
      </c>
      <c r="N12" s="88" t="inlineStr">
        <is>
          <t>3.78%</t>
        </is>
      </c>
      <c r="O12" s="88" t="inlineStr">
        <is>
          <t>0.88%</t>
        </is>
      </c>
      <c r="P12" s="88" t="inlineStr">
        <is>
          <t>2.67%</t>
        </is>
      </c>
      <c r="Q12" s="88" t="inlineStr">
        <is>
          <t>0.10%</t>
        </is>
      </c>
      <c r="R12" s="88" t="inlineStr">
        <is>
          <t>2.51%</t>
        </is>
      </c>
      <c r="S12" s="88" t="inlineStr">
        <is>
          <t>0.59%</t>
        </is>
      </c>
      <c r="T12" s="88" t="inlineStr">
        <is>
          <t>0.07%</t>
        </is>
      </c>
      <c r="U12" s="88" t="inlineStr">
        <is>
          <t>5.31%</t>
        </is>
      </c>
    </row>
    <row r="13">
      <c r="A13" s="88" t="inlineStr">
        <is>
          <t>12</t>
        </is>
      </c>
      <c r="B13" s="91" t="n">
        <v>46123</v>
      </c>
      <c r="C13" s="89" t="n">
        <v>18888</v>
      </c>
      <c r="D13" s="89" t="n">
        <v>18177</v>
      </c>
      <c r="E13" s="89" t="n">
        <v>16984</v>
      </c>
      <c r="F13" s="89" t="n">
        <v>1193</v>
      </c>
      <c r="G13" s="89" t="n">
        <v>12593</v>
      </c>
      <c r="H13" s="89" t="n">
        <v>693</v>
      </c>
      <c r="I13" s="89" t="n">
        <v>107</v>
      </c>
      <c r="J13" s="89" t="n">
        <v>33</v>
      </c>
      <c r="K13" s="90" t="n">
        <v>217</v>
      </c>
      <c r="L13" s="89" t="n">
        <v>1737</v>
      </c>
      <c r="M13" s="88" t="inlineStr">
        <is>
          <t>66.67%</t>
        </is>
      </c>
      <c r="N13" s="88" t="inlineStr">
        <is>
          <t>5.50%</t>
        </is>
      </c>
      <c r="O13" s="88" t="inlineStr">
        <is>
          <t>0.85%</t>
        </is>
      </c>
      <c r="P13" s="88" t="inlineStr">
        <is>
          <t>4.76%</t>
        </is>
      </c>
      <c r="Q13" s="88" t="inlineStr">
        <is>
          <t>0.26%</t>
        </is>
      </c>
      <c r="R13" s="88" t="inlineStr">
        <is>
          <t>3.67%</t>
        </is>
      </c>
      <c r="S13" s="88" t="inlineStr">
        <is>
          <t>0.57%</t>
        </is>
      </c>
      <c r="T13" s="88" t="inlineStr">
        <is>
          <t>0.17%</t>
        </is>
      </c>
      <c r="U13" s="88" t="inlineStr">
        <is>
          <t>15.21%</t>
        </is>
      </c>
    </row>
    <row r="14">
      <c r="A14" s="88" t="inlineStr">
        <is>
          <t>13</t>
        </is>
      </c>
      <c r="B14" s="91" t="n">
        <v>46124</v>
      </c>
      <c r="C14" s="89" t="n">
        <v>19877</v>
      </c>
      <c r="D14" s="89" t="n">
        <v>19080</v>
      </c>
      <c r="E14" s="89" t="n">
        <v>17854</v>
      </c>
      <c r="F14" s="89" t="n">
        <v>1226</v>
      </c>
      <c r="G14" s="89" t="n">
        <v>13176</v>
      </c>
      <c r="H14" s="89" t="n">
        <v>968</v>
      </c>
      <c r="I14" s="89" t="n">
        <v>205</v>
      </c>
      <c r="J14" s="89" t="n">
        <v>54</v>
      </c>
      <c r="K14" s="90" t="n">
        <v>187</v>
      </c>
      <c r="L14" s="89" t="n">
        <v>1939</v>
      </c>
      <c r="M14" s="88" t="inlineStr">
        <is>
          <t>66.29%</t>
        </is>
      </c>
      <c r="N14" s="88" t="inlineStr">
        <is>
          <t>7.35%</t>
        </is>
      </c>
      <c r="O14" s="88" t="inlineStr">
        <is>
          <t>1.56%</t>
        </is>
      </c>
      <c r="P14" s="88" t="inlineStr">
        <is>
          <t>5.58%</t>
        </is>
      </c>
      <c r="Q14" s="88" t="inlineStr">
        <is>
          <t>0.41%</t>
        </is>
      </c>
      <c r="R14" s="88" t="inlineStr">
        <is>
          <t>4.87%</t>
        </is>
      </c>
      <c r="S14" s="88" t="inlineStr">
        <is>
          <t>1.03%</t>
        </is>
      </c>
      <c r="T14" s="88" t="inlineStr">
        <is>
          <t>0.27%</t>
        </is>
      </c>
      <c r="U14" s="88" t="inlineStr">
        <is>
          <t>28.88%</t>
        </is>
      </c>
    </row>
    <row r="15">
      <c r="A15" s="88" t="inlineStr">
        <is>
          <t>14</t>
        </is>
      </c>
      <c r="B15" s="91" t="n">
        <v>46125</v>
      </c>
      <c r="C15" s="89" t="n">
        <v>19741</v>
      </c>
      <c r="D15" s="89" t="n">
        <v>19807</v>
      </c>
      <c r="E15" s="89" t="n">
        <v>18213</v>
      </c>
      <c r="F15" s="89" t="n">
        <v>1594</v>
      </c>
      <c r="G15" s="89" t="n">
        <v>13373</v>
      </c>
      <c r="H15" s="89" t="n">
        <v>756</v>
      </c>
      <c r="I15" s="89" t="n">
        <v>310</v>
      </c>
      <c r="J15" s="89" t="n">
        <v>42</v>
      </c>
      <c r="K15" s="90" t="n">
        <v>223</v>
      </c>
      <c r="L15" s="89" t="n">
        <v>1694</v>
      </c>
      <c r="M15" s="88" t="inlineStr">
        <is>
          <t>67.74%</t>
        </is>
      </c>
      <c r="N15" s="88" t="inlineStr">
        <is>
          <t>5.65%</t>
        </is>
      </c>
      <c r="O15" s="88" t="inlineStr">
        <is>
          <t>2.32%</t>
        </is>
      </c>
      <c r="P15" s="88" t="inlineStr">
        <is>
          <t>5.56%</t>
        </is>
      </c>
      <c r="Q15" s="88" t="inlineStr">
        <is>
          <t>0.31%</t>
        </is>
      </c>
      <c r="R15" s="88" t="inlineStr">
        <is>
          <t>3.83%</t>
        </is>
      </c>
      <c r="S15" s="88" t="inlineStr">
        <is>
          <t>1.57%</t>
        </is>
      </c>
      <c r="T15" s="88" t="inlineStr">
        <is>
          <t>0.21%</t>
        </is>
      </c>
      <c r="U15" s="88" t="inlineStr">
        <is>
          <t>18.83%</t>
        </is>
      </c>
    </row>
    <row r="16">
      <c r="A16" s="88" t="inlineStr">
        <is>
          <t>15</t>
        </is>
      </c>
      <c r="B16" s="91" t="n">
        <v>46126</v>
      </c>
      <c r="C16" s="89" t="n">
        <v>19631</v>
      </c>
      <c r="D16" s="89" t="n">
        <v>21219</v>
      </c>
      <c r="E16" s="89" t="n">
        <v>19735</v>
      </c>
      <c r="F16" s="89" t="n">
        <v>1484</v>
      </c>
      <c r="G16" s="89" t="n">
        <v>13093</v>
      </c>
      <c r="H16" s="89" t="n">
        <v>588</v>
      </c>
      <c r="I16" s="89" t="n">
        <v>204</v>
      </c>
      <c r="J16" s="89" t="n">
        <v>-9</v>
      </c>
      <c r="K16" s="90" t="n">
        <v>108</v>
      </c>
      <c r="L16" s="89" t="n">
        <v>1713</v>
      </c>
      <c r="M16" s="88" t="inlineStr">
        <is>
          <t>66.70%</t>
        </is>
      </c>
      <c r="N16" s="88" t="inlineStr">
        <is>
          <t>4.49%</t>
        </is>
      </c>
      <c r="O16" s="88" t="inlineStr">
        <is>
          <t>1.56%</t>
        </is>
      </c>
      <c r="P16" s="88" t="inlineStr">
        <is>
          <t>-1.53%</t>
        </is>
      </c>
      <c r="Q16" s="88" t="inlineStr">
        <is>
          <t>-0.07%</t>
        </is>
      </c>
      <c r="R16" s="88" t="inlineStr">
        <is>
          <t>3.00%</t>
        </is>
      </c>
      <c r="S16" s="88" t="inlineStr">
        <is>
          <t>1.04%</t>
        </is>
      </c>
      <c r="T16" s="88" t="inlineStr">
        <is>
          <t>-0.05%</t>
        </is>
      </c>
      <c r="U16" s="88" t="inlineStr">
        <is>
          <t>-8.33%</t>
        </is>
      </c>
    </row>
    <row r="17">
      <c r="A17" s="88" t="inlineStr">
        <is>
          <t>16</t>
        </is>
      </c>
      <c r="B17" s="91" t="n">
        <v>46127</v>
      </c>
      <c r="C17" s="89" t="n">
        <v>18059</v>
      </c>
      <c r="D17" s="89" t="n">
        <v>17948</v>
      </c>
      <c r="E17" s="89" t="n">
        <v>16842</v>
      </c>
      <c r="F17" s="89" t="n">
        <v>1106</v>
      </c>
      <c r="G17" s="89" t="n">
        <v>12284</v>
      </c>
      <c r="H17" s="89" t="n">
        <v>568</v>
      </c>
      <c r="I17" s="89" t="n">
        <v>183</v>
      </c>
      <c r="J17" s="89" t="n">
        <v>74</v>
      </c>
      <c r="K17" s="90" t="n">
        <v>291</v>
      </c>
      <c r="L17" s="89" t="n">
        <v>1654</v>
      </c>
      <c r="M17" s="88" t="inlineStr">
        <is>
          <t>68.02%</t>
        </is>
      </c>
      <c r="N17" s="88" t="inlineStr">
        <is>
          <t>4.62%</t>
        </is>
      </c>
      <c r="O17" s="88" t="inlineStr">
        <is>
          <t>1.49%</t>
        </is>
      </c>
      <c r="P17" s="88" t="inlineStr">
        <is>
          <t>13.03%</t>
        </is>
      </c>
      <c r="Q17" s="88" t="inlineStr">
        <is>
          <t>0.60%</t>
        </is>
      </c>
      <c r="R17" s="88" t="inlineStr">
        <is>
          <t>3.15%</t>
        </is>
      </c>
      <c r="S17" s="88" t="inlineStr">
        <is>
          <t>1.01%</t>
        </is>
      </c>
      <c r="T17" s="88" t="inlineStr">
        <is>
          <t>0.41%</t>
        </is>
      </c>
      <c r="U17" s="88" t="inlineStr">
        <is>
          <t>25.43%</t>
        </is>
      </c>
    </row>
    <row r="18">
      <c r="A18" s="88" t="inlineStr">
        <is>
          <t>17</t>
        </is>
      </c>
      <c r="B18" s="91" t="n">
        <v>46128</v>
      </c>
      <c r="C18" s="89" t="n">
        <v>19258</v>
      </c>
      <c r="D18" s="89" t="n">
        <v>19503</v>
      </c>
      <c r="E18" s="89" t="n">
        <v>18101</v>
      </c>
      <c r="F18" s="89" t="n">
        <v>1402</v>
      </c>
      <c r="G18" s="89" t="n">
        <v>13518</v>
      </c>
      <c r="H18" s="89" t="n">
        <v>533</v>
      </c>
      <c r="I18" s="89" t="n">
        <v>124</v>
      </c>
      <c r="J18" s="89" t="n">
        <v>-19</v>
      </c>
      <c r="K18" s="90" t="n">
        <v>215</v>
      </c>
      <c r="L18" s="89" t="n">
        <v>1647</v>
      </c>
      <c r="M18" s="88" t="inlineStr">
        <is>
          <t>70.19%</t>
        </is>
      </c>
      <c r="N18" s="88" t="inlineStr">
        <is>
          <t>3.94%</t>
        </is>
      </c>
      <c r="O18" s="88" t="inlineStr">
        <is>
          <t>0.92%</t>
        </is>
      </c>
      <c r="P18" s="88" t="inlineStr">
        <is>
          <t>-3.56%</t>
        </is>
      </c>
      <c r="Q18" s="88" t="inlineStr">
        <is>
          <t>-0.14%</t>
        </is>
      </c>
      <c r="R18" s="88" t="inlineStr">
        <is>
          <t>2.77%</t>
        </is>
      </c>
      <c r="S18" s="88" t="inlineStr">
        <is>
          <t>0.64%</t>
        </is>
      </c>
      <c r="T18" s="88" t="inlineStr">
        <is>
          <t>-0.10%</t>
        </is>
      </c>
      <c r="U18" s="88" t="inlineStr">
        <is>
          <t>-8.84%</t>
        </is>
      </c>
    </row>
    <row r="19">
      <c r="A19" s="88" t="inlineStr">
        <is>
          <t>18</t>
        </is>
      </c>
      <c r="B19" s="91" t="n">
        <v>46129</v>
      </c>
      <c r="C19" s="89" t="n">
        <v>19235</v>
      </c>
      <c r="D19" s="89" t="n">
        <v>19354</v>
      </c>
      <c r="E19" s="89" t="n">
        <v>17936</v>
      </c>
      <c r="F19" s="89" t="n">
        <v>1418</v>
      </c>
      <c r="G19" s="89" t="n">
        <v>13422</v>
      </c>
      <c r="H19" s="89" t="n">
        <v>682</v>
      </c>
      <c r="I19" s="89" t="n">
        <v>93</v>
      </c>
      <c r="J19" s="89" t="n">
        <v>-16</v>
      </c>
      <c r="K19" s="90" t="n">
        <v>181</v>
      </c>
      <c r="L19" s="89" t="n">
        <v>1568</v>
      </c>
      <c r="M19" s="88" t="inlineStr">
        <is>
          <t>69.78%</t>
        </is>
      </c>
      <c r="N19" s="88" t="inlineStr">
        <is>
          <t>5.08%</t>
        </is>
      </c>
      <c r="O19" s="88" t="inlineStr">
        <is>
          <t>0.69%</t>
        </is>
      </c>
      <c r="P19" s="88" t="inlineStr">
        <is>
          <t>-2.35%</t>
        </is>
      </c>
      <c r="Q19" s="88" t="inlineStr">
        <is>
          <t>-0.12%</t>
        </is>
      </c>
      <c r="R19" s="88" t="inlineStr">
        <is>
          <t>3.55%</t>
        </is>
      </c>
      <c r="S19" s="88" t="inlineStr">
        <is>
          <t>0.48%</t>
        </is>
      </c>
      <c r="T19" s="88" t="inlineStr">
        <is>
          <t>-0.08%</t>
        </is>
      </c>
      <c r="U19" s="88" t="inlineStr">
        <is>
          <t>-8.84%</t>
        </is>
      </c>
    </row>
    <row r="20">
      <c r="A20" s="88" t="inlineStr">
        <is>
          <t>19</t>
        </is>
      </c>
      <c r="B20" s="91" t="n">
        <v>46130</v>
      </c>
      <c r="C20" s="89" t="n">
        <v>21470</v>
      </c>
      <c r="D20" s="89" t="n">
        <v>20767</v>
      </c>
      <c r="E20" s="89" t="n">
        <v>19167</v>
      </c>
      <c r="F20" s="89" t="n">
        <v>1600</v>
      </c>
      <c r="G20" s="89" t="n">
        <v>15172</v>
      </c>
      <c r="H20" s="89" t="n">
        <v>1326</v>
      </c>
      <c r="I20" s="89" t="n">
        <v>652</v>
      </c>
      <c r="J20" s="89" t="n">
        <v>134</v>
      </c>
      <c r="K20" s="90" t="n">
        <v>439</v>
      </c>
      <c r="L20" s="89" t="n">
        <v>1753</v>
      </c>
      <c r="M20" s="88" t="inlineStr">
        <is>
          <t>70.67%</t>
        </is>
      </c>
      <c r="N20" s="88" t="inlineStr">
        <is>
          <t>8.74%</t>
        </is>
      </c>
      <c r="O20" s="88" t="inlineStr">
        <is>
          <t>4.30%</t>
        </is>
      </c>
      <c r="P20" s="88" t="inlineStr">
        <is>
          <t>10.11%</t>
        </is>
      </c>
      <c r="Q20" s="88" t="inlineStr">
        <is>
          <t>0.88%</t>
        </is>
      </c>
      <c r="R20" s="88" t="inlineStr">
        <is>
          <t>6.18%</t>
        </is>
      </c>
      <c r="S20" s="88" t="inlineStr">
        <is>
          <t>3.04%</t>
        </is>
      </c>
      <c r="T20" s="88" t="inlineStr">
        <is>
          <t>0.62%</t>
        </is>
      </c>
      <c r="U20" s="88" t="inlineStr">
        <is>
          <t>30.52%</t>
        </is>
      </c>
    </row>
    <row r="21">
      <c r="A21" s="88" t="inlineStr">
        <is>
          <t>20</t>
        </is>
      </c>
      <c r="B21" s="91" t="n">
        <v>46131</v>
      </c>
      <c r="C21" s="89" t="n">
        <v>22607</v>
      </c>
      <c r="D21" s="89" t="n">
        <v>20918</v>
      </c>
      <c r="E21" s="89" t="n">
        <v>19392</v>
      </c>
      <c r="F21" s="89" t="n">
        <v>1526</v>
      </c>
      <c r="G21" s="89" t="n">
        <v>16058</v>
      </c>
      <c r="H21" s="89" t="n">
        <v>1391</v>
      </c>
      <c r="I21" s="89" t="n">
        <v>519</v>
      </c>
      <c r="J21" s="89" t="n">
        <v>139</v>
      </c>
      <c r="K21" s="90" t="n">
        <v>311</v>
      </c>
      <c r="L21" s="89" t="n">
        <v>1811</v>
      </c>
      <c r="M21" s="88" t="inlineStr">
        <is>
          <t>71.03%</t>
        </is>
      </c>
      <c r="N21" s="88" t="inlineStr">
        <is>
          <t>8.66%</t>
        </is>
      </c>
      <c r="O21" s="88" t="inlineStr">
        <is>
          <t>3.23%</t>
        </is>
      </c>
      <c r="P21" s="88" t="inlineStr">
        <is>
          <t>9.99%</t>
        </is>
      </c>
      <c r="Q21" s="88" t="inlineStr">
        <is>
          <t>0.87%</t>
        </is>
      </c>
      <c r="R21" s="88" t="inlineStr">
        <is>
          <t>6.15%</t>
        </is>
      </c>
      <c r="S21" s="88" t="inlineStr">
        <is>
          <t>2.30%</t>
        </is>
      </c>
      <c r="T21" s="88" t="inlineStr">
        <is>
          <t>0.61%</t>
        </is>
      </c>
      <c r="U21" s="88" t="inlineStr">
        <is>
          <t>44.69%</t>
        </is>
      </c>
    </row>
    <row r="22">
      <c r="A22" s="88" t="inlineStr">
        <is>
          <t>21</t>
        </is>
      </c>
      <c r="B22" s="91" t="n">
        <v>46132</v>
      </c>
      <c r="C22" s="89" t="n">
        <v>21111</v>
      </c>
      <c r="D22" s="89" t="n">
        <v>22553</v>
      </c>
      <c r="E22" s="89" t="n">
        <v>20791</v>
      </c>
      <c r="F22" s="89" t="n">
        <v>1762</v>
      </c>
      <c r="G22" s="89" t="n">
        <v>15469</v>
      </c>
      <c r="H22" s="89" t="n">
        <v>1080</v>
      </c>
      <c r="I22" s="89" t="n">
        <v>678</v>
      </c>
      <c r="J22" s="89" t="n">
        <v>223</v>
      </c>
      <c r="K22" s="90" t="n">
        <v>475</v>
      </c>
      <c r="L22" s="89" t="n">
        <v>1646</v>
      </c>
      <c r="M22" s="88" t="inlineStr">
        <is>
          <t>73.27%</t>
        </is>
      </c>
      <c r="N22" s="88" t="inlineStr">
        <is>
          <t>6.98%</t>
        </is>
      </c>
      <c r="O22" s="88" t="inlineStr">
        <is>
          <t>4.38%</t>
        </is>
      </c>
      <c r="P22" s="88" t="inlineStr">
        <is>
          <t>20.65%</t>
        </is>
      </c>
      <c r="Q22" s="88" t="inlineStr">
        <is>
          <t>1.44%</t>
        </is>
      </c>
      <c r="R22" s="88" t="inlineStr">
        <is>
          <t>5.12%</t>
        </is>
      </c>
      <c r="S22" s="88" t="inlineStr">
        <is>
          <t>3.21%</t>
        </is>
      </c>
      <c r="T22" s="88" t="inlineStr">
        <is>
          <t>1.06%</t>
        </is>
      </c>
      <c r="U22" s="88" t="inlineStr">
        <is>
          <t>46.95%</t>
        </is>
      </c>
    </row>
    <row r="23">
      <c r="A23" s="88" t="inlineStr">
        <is>
          <t>22</t>
        </is>
      </c>
      <c r="B23" s="91" t="n">
        <v>46133</v>
      </c>
      <c r="C23" s="89" t="n">
        <v>20279</v>
      </c>
      <c r="D23" s="89" t="n">
        <v>20854</v>
      </c>
      <c r="E23" s="89" t="n">
        <v>19431</v>
      </c>
      <c r="F23" s="89" t="n">
        <v>1423</v>
      </c>
      <c r="G23" s="89" t="n">
        <v>14785</v>
      </c>
      <c r="H23" s="89" t="n">
        <v>965</v>
      </c>
      <c r="I23" s="89" t="n">
        <v>554</v>
      </c>
      <c r="J23" s="89" t="n">
        <v>296</v>
      </c>
      <c r="K23" s="90" t="n">
        <v>437</v>
      </c>
      <c r="L23" s="89" t="n">
        <v>1299</v>
      </c>
      <c r="M23" s="88" t="inlineStr">
        <is>
          <t>72.91%</t>
        </is>
      </c>
      <c r="N23" s="88" t="inlineStr">
        <is>
          <t>6.53%</t>
        </is>
      </c>
      <c r="O23" s="88" t="inlineStr">
        <is>
          <t>3.75%</t>
        </is>
      </c>
      <c r="P23" s="88" t="inlineStr">
        <is>
          <t>30.67%</t>
        </is>
      </c>
      <c r="Q23" s="88" t="inlineStr">
        <is>
          <t>2.00%</t>
        </is>
      </c>
      <c r="R23" s="88" t="inlineStr">
        <is>
          <t>4.76%</t>
        </is>
      </c>
      <c r="S23" s="88" t="inlineStr">
        <is>
          <t>2.73%</t>
        </is>
      </c>
      <c r="T23" s="88" t="inlineStr">
        <is>
          <t>1.46%</t>
        </is>
      </c>
      <c r="U23" s="88" t="inlineStr">
        <is>
          <t>67.73%</t>
        </is>
      </c>
    </row>
    <row r="24">
      <c r="A24" s="88" t="inlineStr">
        <is>
          <t>23</t>
        </is>
      </c>
      <c r="B24" s="91" t="n">
        <v>46134</v>
      </c>
      <c r="C24" s="89" t="n">
        <v>20926</v>
      </c>
      <c r="D24" s="89" t="n">
        <v>21291</v>
      </c>
      <c r="E24" s="89" t="n">
        <v>19618</v>
      </c>
      <c r="F24" s="89" t="n">
        <v>1673</v>
      </c>
      <c r="G24" s="89" t="n">
        <v>14965</v>
      </c>
      <c r="H24" s="89" t="n">
        <v>1062</v>
      </c>
      <c r="I24" s="89" t="n">
        <v>679</v>
      </c>
      <c r="J24" s="89" t="n">
        <v>364</v>
      </c>
      <c r="K24" s="90" t="n">
        <v>660</v>
      </c>
      <c r="L24" s="89" t="n">
        <v>1277</v>
      </c>
      <c r="M24" s="88" t="inlineStr">
        <is>
          <t>71.51%</t>
        </is>
      </c>
      <c r="N24" s="88" t="inlineStr">
        <is>
          <t>7.10%</t>
        </is>
      </c>
      <c r="O24" s="88" t="inlineStr">
        <is>
          <t>4.54%</t>
        </is>
      </c>
      <c r="P24" s="88" t="inlineStr">
        <is>
          <t>34.27%</t>
        </is>
      </c>
      <c r="Q24" s="88" t="inlineStr">
        <is>
          <t>2.43%</t>
        </is>
      </c>
      <c r="R24" s="88" t="inlineStr">
        <is>
          <t>5.08%</t>
        </is>
      </c>
      <c r="S24" s="88" t="inlineStr">
        <is>
          <t>3.24%</t>
        </is>
      </c>
      <c r="T24" s="88" t="inlineStr">
        <is>
          <t>1.74%</t>
        </is>
      </c>
      <c r="U24" s="88" t="inlineStr">
        <is>
          <t>55.15%</t>
        </is>
      </c>
    </row>
    <row r="25">
      <c r="A25" s="88" t="inlineStr">
        <is>
          <t>24</t>
        </is>
      </c>
      <c r="B25" s="91" t="n">
        <v>46135</v>
      </c>
      <c r="C25" s="89" t="n">
        <v>19366</v>
      </c>
      <c r="D25" s="89" t="n">
        <v>19506</v>
      </c>
      <c r="E25" s="89" t="n">
        <v>17946</v>
      </c>
      <c r="F25" s="89" t="n">
        <v>1560</v>
      </c>
      <c r="G25" s="89" t="n">
        <v>14457</v>
      </c>
      <c r="H25" s="89" t="n">
        <v>859</v>
      </c>
      <c r="I25" s="89" t="n">
        <v>518</v>
      </c>
      <c r="J25" s="89" t="n">
        <v>324</v>
      </c>
      <c r="K25" s="90" t="n">
        <v>569</v>
      </c>
      <c r="L25" s="89" t="n">
        <v>1168</v>
      </c>
      <c r="M25" s="88" t="inlineStr">
        <is>
          <t>74.65%</t>
        </is>
      </c>
      <c r="N25" s="88" t="inlineStr">
        <is>
          <t>5.94%</t>
        </is>
      </c>
      <c r="O25" s="88" t="inlineStr">
        <is>
          <t>3.58%</t>
        </is>
      </c>
      <c r="P25" s="88" t="inlineStr">
        <is>
          <t>37.72%</t>
        </is>
      </c>
      <c r="Q25" s="88" t="inlineStr">
        <is>
          <t>2.24%</t>
        </is>
      </c>
      <c r="R25" s="88" t="inlineStr">
        <is>
          <t>4.44%</t>
        </is>
      </c>
      <c r="S25" s="88" t="inlineStr">
        <is>
          <t>2.67%</t>
        </is>
      </c>
      <c r="T25" s="88" t="inlineStr">
        <is>
          <t>1.67%</t>
        </is>
      </c>
      <c r="U25" s="88" t="inlineStr">
        <is>
          <t>56.94%</t>
        </is>
      </c>
    </row>
    <row r="26">
      <c r="A26" s="88" t="inlineStr">
        <is>
          <t>25</t>
        </is>
      </c>
      <c r="B26" s="91" t="n">
        <v>46136</v>
      </c>
      <c r="C26" s="89" t="n">
        <v>20635</v>
      </c>
      <c r="D26" s="89" t="n">
        <v>19484</v>
      </c>
      <c r="E26" s="89" t="n">
        <v>18155</v>
      </c>
      <c r="F26" s="89" t="n">
        <v>1329</v>
      </c>
      <c r="G26" s="89" t="n">
        <v>14378</v>
      </c>
      <c r="H26" s="89" t="n">
        <v>1056</v>
      </c>
      <c r="I26" s="89" t="n">
        <v>601</v>
      </c>
      <c r="J26" s="89" t="n">
        <v>356</v>
      </c>
      <c r="K26" s="90" t="n">
        <v>646</v>
      </c>
      <c r="L26" s="89" t="n">
        <v>1109</v>
      </c>
      <c r="M26" s="88" t="inlineStr">
        <is>
          <t>69.68%</t>
        </is>
      </c>
      <c r="N26" s="88" t="inlineStr">
        <is>
          <t>7.34%</t>
        </is>
      </c>
      <c r="O26" s="88" t="inlineStr">
        <is>
          <t>4.18%</t>
        </is>
      </c>
      <c r="P26" s="88" t="inlineStr">
        <is>
          <t>33.71%</t>
        </is>
      </c>
      <c r="Q26" s="88" t="inlineStr">
        <is>
          <t>2.48%</t>
        </is>
      </c>
      <c r="R26" s="88" t="inlineStr">
        <is>
          <t>5.12%</t>
        </is>
      </c>
      <c r="S26" s="88" t="inlineStr">
        <is>
          <t>2.91%</t>
        </is>
      </c>
      <c r="T26" s="88" t="inlineStr">
        <is>
          <t>1.73%</t>
        </is>
      </c>
      <c r="U26" s="88" t="inlineStr">
        <is>
          <t>55.11%</t>
        </is>
      </c>
    </row>
    <row r="27">
      <c r="A27" s="88" t="inlineStr">
        <is>
          <t>26</t>
        </is>
      </c>
      <c r="B27" s="91" t="n">
        <v>46137</v>
      </c>
      <c r="C27" s="89" t="n">
        <v>22748</v>
      </c>
      <c r="D27" s="89" t="n">
        <v>23049</v>
      </c>
      <c r="E27" s="89" t="n">
        <v>21322</v>
      </c>
      <c r="F27" s="89" t="n">
        <v>1727</v>
      </c>
      <c r="G27" s="89" t="n">
        <v>15215</v>
      </c>
      <c r="H27" s="89" t="n">
        <v>1268</v>
      </c>
      <c r="I27" s="89" t="n">
        <v>494</v>
      </c>
      <c r="J27" s="89" t="n">
        <v>399</v>
      </c>
      <c r="K27" s="90" t="n">
        <v>682</v>
      </c>
      <c r="L27" s="89" t="n">
        <v>1079</v>
      </c>
      <c r="M27" s="88" t="inlineStr">
        <is>
          <t>66.89%</t>
        </is>
      </c>
      <c r="N27" s="88" t="inlineStr">
        <is>
          <t>8.33%</t>
        </is>
      </c>
      <c r="O27" s="88" t="inlineStr">
        <is>
          <t>3.25%</t>
        </is>
      </c>
      <c r="P27" s="88" t="inlineStr">
        <is>
          <t>31.47%</t>
        </is>
      </c>
      <c r="Q27" s="88" t="inlineStr">
        <is>
          <t>2.62%</t>
        </is>
      </c>
      <c r="R27" s="88" t="inlineStr">
        <is>
          <t>5.57%</t>
        </is>
      </c>
      <c r="S27" s="88" t="inlineStr">
        <is>
          <t>2.17%</t>
        </is>
      </c>
      <c r="T27" s="88" t="inlineStr">
        <is>
          <t>1.75%</t>
        </is>
      </c>
      <c r="U27" s="88" t="inlineStr">
        <is>
          <t>58.50%</t>
        </is>
      </c>
    </row>
    <row r="28">
      <c r="A28" s="88" t="inlineStr">
        <is>
          <t>27</t>
        </is>
      </c>
      <c r="B28" s="91" t="n">
        <v>46138</v>
      </c>
      <c r="C28" s="89" t="n">
        <v>20316</v>
      </c>
      <c r="D28" s="89" t="n">
        <v>20855</v>
      </c>
      <c r="E28" s="89" t="n">
        <v>18807</v>
      </c>
      <c r="F28" s="89" t="n">
        <v>2048</v>
      </c>
      <c r="G28" s="89" t="n">
        <v>15974</v>
      </c>
      <c r="H28" s="89" t="n">
        <v>1241</v>
      </c>
      <c r="I28" s="89" t="n">
        <v>384</v>
      </c>
      <c r="J28" s="89" t="n">
        <v>169</v>
      </c>
      <c r="K28" s="90" t="n">
        <v>396</v>
      </c>
      <c r="L28" s="89" t="n">
        <v>923</v>
      </c>
      <c r="M28" s="88" t="inlineStr">
        <is>
          <t>78.63%</t>
        </is>
      </c>
      <c r="N28" s="88" t="inlineStr">
        <is>
          <t>7.77%</t>
        </is>
      </c>
      <c r="O28" s="88" t="inlineStr">
        <is>
          <t>2.40%</t>
        </is>
      </c>
      <c r="P28" s="88" t="inlineStr">
        <is>
          <t>13.62%</t>
        </is>
      </c>
      <c r="Q28" s="88" t="inlineStr">
        <is>
          <t>1.06%</t>
        </is>
      </c>
      <c r="R28" s="88" t="inlineStr">
        <is>
          <t>6.11%</t>
        </is>
      </c>
      <c r="S28" s="88" t="inlineStr">
        <is>
          <t>1.89%</t>
        </is>
      </c>
      <c r="T28" s="88" t="inlineStr">
        <is>
          <t>0.83%</t>
        </is>
      </c>
      <c r="U28" s="88" t="inlineStr">
        <is>
          <t>42.68%</t>
        </is>
      </c>
    </row>
    <row r="29">
      <c r="A29" s="88" t="inlineStr">
        <is>
          <t>28</t>
        </is>
      </c>
      <c r="B29" s="91" t="n">
        <v>46139</v>
      </c>
      <c r="C29" s="89" t="n">
        <v>19711</v>
      </c>
      <c r="D29" s="89" t="n">
        <v>20056</v>
      </c>
      <c r="E29" s="89" t="n">
        <v>18454</v>
      </c>
      <c r="F29" s="89" t="n">
        <v>1602</v>
      </c>
      <c r="G29" s="89" t="n">
        <v>15678</v>
      </c>
      <c r="H29" s="89" t="n">
        <v>1293</v>
      </c>
      <c r="I29" s="89" t="n">
        <v>701</v>
      </c>
      <c r="J29" s="89" t="n">
        <v>272</v>
      </c>
      <c r="K29" s="90" t="n">
        <v>588</v>
      </c>
      <c r="L29" s="89" t="n">
        <v>826</v>
      </c>
      <c r="M29" s="88" t="inlineStr">
        <is>
          <t>79.54%</t>
        </is>
      </c>
      <c r="N29" s="88" t="inlineStr">
        <is>
          <t>8.25%</t>
        </is>
      </c>
      <c r="O29" s="88" t="inlineStr">
        <is>
          <t>4.47%</t>
        </is>
      </c>
      <c r="P29" s="88" t="inlineStr">
        <is>
          <t>21.04%</t>
        </is>
      </c>
      <c r="Q29" s="88" t="inlineStr">
        <is>
          <t>1.73%</t>
        </is>
      </c>
      <c r="R29" s="88" t="inlineStr">
        <is>
          <t>6.56%</t>
        </is>
      </c>
      <c r="S29" s="88" t="inlineStr">
        <is>
          <t>3.56%</t>
        </is>
      </c>
      <c r="T29" s="88" t="inlineStr">
        <is>
          <t>1.38%</t>
        </is>
      </c>
      <c r="U29" s="88" t="inlineStr">
        <is>
          <t>46.26%</t>
        </is>
      </c>
    </row>
    <row r="30">
      <c r="A30" s="88" t="inlineStr">
        <is>
          <t>29</t>
        </is>
      </c>
      <c r="B30" s="91" t="n">
        <v>46140</v>
      </c>
      <c r="C30" s="89" t="n">
        <v>19131</v>
      </c>
      <c r="D30" s="89" t="n">
        <v>18359</v>
      </c>
      <c r="E30" s="89" t="n">
        <v>16941</v>
      </c>
      <c r="F30" s="89" t="n">
        <v>1418</v>
      </c>
      <c r="G30" s="89" t="n">
        <v>15433</v>
      </c>
      <c r="H30" s="89" t="n">
        <v>1705</v>
      </c>
      <c r="I30" s="89" t="n">
        <v>1322</v>
      </c>
      <c r="J30" s="89" t="n">
        <v>678</v>
      </c>
      <c r="K30" s="90" t="n">
        <v>1152</v>
      </c>
      <c r="L30" s="89" t="n">
        <v>601</v>
      </c>
      <c r="M30" s="88" t="inlineStr">
        <is>
          <t>80.67%</t>
        </is>
      </c>
      <c r="N30" s="88" t="inlineStr">
        <is>
          <t>11.05%</t>
        </is>
      </c>
      <c r="O30" s="88" t="inlineStr">
        <is>
          <t>8.57%</t>
        </is>
      </c>
      <c r="P30" s="88" t="inlineStr">
        <is>
          <t>39.77%</t>
        </is>
      </c>
      <c r="Q30" s="88" t="inlineStr">
        <is>
          <t>4.39%</t>
        </is>
      </c>
      <c r="R30" s="88" t="inlineStr">
        <is>
          <t>8.91%</t>
        </is>
      </c>
      <c r="S30" s="88" t="inlineStr">
        <is>
          <t>6.91%</t>
        </is>
      </c>
      <c r="T30" s="88" t="inlineStr">
        <is>
          <t>3.54%</t>
        </is>
      </c>
      <c r="U30" s="88" t="inlineStr">
        <is>
          <t>58.85%</t>
        </is>
      </c>
    </row>
    <row r="31">
      <c r="A31" s="88" t="inlineStr">
        <is>
          <t>30</t>
        </is>
      </c>
      <c r="B31" s="91" t="n">
        <v>46141</v>
      </c>
      <c r="C31" s="89" t="n">
        <v>18780</v>
      </c>
      <c r="D31" s="89" t="n">
        <v>19280</v>
      </c>
      <c r="E31" s="89" t="n">
        <v>17871</v>
      </c>
      <c r="F31" s="89" t="n">
        <v>1409</v>
      </c>
      <c r="G31" s="89" t="n">
        <v>15508</v>
      </c>
      <c r="H31" s="89" t="n">
        <v>1960</v>
      </c>
      <c r="I31" s="89" t="n">
        <v>1608</v>
      </c>
      <c r="J31" s="89" t="n">
        <v>1736</v>
      </c>
      <c r="K31" s="90" t="n">
        <v>3005</v>
      </c>
      <c r="L31" s="89" t="n">
        <v>548</v>
      </c>
      <c r="M31" s="88" t="inlineStr">
        <is>
          <t>82.58%</t>
        </is>
      </c>
      <c r="N31" s="88" t="inlineStr">
        <is>
          <t>12.64%</t>
        </is>
      </c>
      <c r="O31" s="88" t="inlineStr">
        <is>
          <t>10.37%</t>
        </is>
      </c>
      <c r="P31" s="88" t="inlineStr">
        <is>
          <t>88.57%</t>
        </is>
      </c>
      <c r="Q31" s="88" t="inlineStr">
        <is>
          <t>11.19%</t>
        </is>
      </c>
      <c r="R31" s="88" t="inlineStr">
        <is>
          <t>10.44%</t>
        </is>
      </c>
      <c r="S31" s="88" t="inlineStr">
        <is>
          <t>8.56%</t>
        </is>
      </c>
      <c r="T31" s="88" t="inlineStr">
        <is>
          <t>9.24%</t>
        </is>
      </c>
      <c r="U31" s="88" t="inlineStr">
        <is>
          <t>57.77%</t>
        </is>
      </c>
    </row>
    <row r="32">
      <c r="A32" s="88" t="inlineStr">
        <is>
          <t>31</t>
        </is>
      </c>
      <c r="B32" s="91" t="n">
        <v>46142</v>
      </c>
      <c r="C32" s="89" t="n">
        <v>20048</v>
      </c>
      <c r="D32" s="89" t="n">
        <v>19341</v>
      </c>
      <c r="E32" s="89" t="n">
        <v>17815</v>
      </c>
      <c r="F32" s="89" t="n">
        <v>1526</v>
      </c>
      <c r="G32" s="89" t="n">
        <v>16721</v>
      </c>
      <c r="H32" s="89" t="n">
        <v>2968</v>
      </c>
      <c r="I32" s="89" t="n">
        <v>2812</v>
      </c>
      <c r="J32" s="89" t="n">
        <v>3217</v>
      </c>
      <c r="K32" s="90" t="n">
        <v>7038</v>
      </c>
      <c r="L32" s="89" t="n">
        <v>500</v>
      </c>
      <c r="M32" s="88" t="inlineStr">
        <is>
          <t>83.40%</t>
        </is>
      </c>
      <c r="N32" s="88" t="inlineStr">
        <is>
          <t>17.75%</t>
        </is>
      </c>
      <c r="O32" s="88" t="inlineStr">
        <is>
          <t>16.82%</t>
        </is>
      </c>
      <c r="P32" s="88" t="inlineStr">
        <is>
          <t>108.39%</t>
        </is>
      </c>
      <c r="Q32" s="88" t="inlineStr">
        <is>
          <t>19.24%</t>
        </is>
      </c>
      <c r="R32" s="88" t="inlineStr">
        <is>
          <t>14.80%</t>
        </is>
      </c>
      <c r="S32" s="88" t="inlineStr">
        <is>
          <t>14.03%</t>
        </is>
      </c>
      <c r="T32" s="88" t="inlineStr">
        <is>
          <t>16.05%</t>
        </is>
      </c>
      <c r="U32" s="88" t="inlineStr">
        <is>
          <t>45.71%</t>
        </is>
      </c>
    </row>
    <row r="33">
      <c r="A33" s="88" t="inlineStr">
        <is>
          <t>32</t>
        </is>
      </c>
      <c r="B33" s="91" t="n">
        <v>46143</v>
      </c>
      <c r="C33" s="89" t="n">
        <v>25372</v>
      </c>
      <c r="D33" s="89" t="n">
        <v>21183</v>
      </c>
      <c r="E33" s="89" t="n">
        <v>19687</v>
      </c>
      <c r="F33" s="89" t="n">
        <v>1496</v>
      </c>
      <c r="G33" s="89" t="n">
        <v>20243</v>
      </c>
      <c r="H33" s="89" t="n">
        <v>1349</v>
      </c>
      <c r="I33" s="89" t="n">
        <v>408</v>
      </c>
      <c r="J33" s="89" t="n">
        <v>64</v>
      </c>
      <c r="K33" s="90" t="n">
        <v>308</v>
      </c>
      <c r="L33" s="89" t="n">
        <v>1064</v>
      </c>
      <c r="M33" s="88" t="inlineStr">
        <is>
          <t>79.78%</t>
        </is>
      </c>
      <c r="N33" s="88" t="inlineStr">
        <is>
          <t>6.66%</t>
        </is>
      </c>
      <c r="O33" s="88" t="inlineStr">
        <is>
          <t>2.02%</t>
        </is>
      </c>
      <c r="P33" s="88" t="inlineStr">
        <is>
          <t>4.74%</t>
        </is>
      </c>
      <c r="Q33" s="88" t="inlineStr">
        <is>
          <t>0.32%</t>
        </is>
      </c>
      <c r="R33" s="88" t="inlineStr">
        <is>
          <t>5.32%</t>
        </is>
      </c>
      <c r="S33" s="88" t="inlineStr">
        <is>
          <t>1.61%</t>
        </is>
      </c>
      <c r="T33" s="88" t="inlineStr">
        <is>
          <t>0.25%</t>
        </is>
      </c>
      <c r="U33" s="88" t="inlineStr">
        <is>
          <t>20.78%</t>
        </is>
      </c>
    </row>
    <row r="34">
      <c r="A34" s="88" t="inlineStr">
        <is>
          <t>33</t>
        </is>
      </c>
      <c r="B34" s="91" t="n">
        <v>46144</v>
      </c>
      <c r="C34" s="89" t="n">
        <v>26093</v>
      </c>
      <c r="D34" s="89" t="n">
        <v>26375</v>
      </c>
      <c r="E34" s="89" t="n">
        <v>24393</v>
      </c>
      <c r="F34" s="89" t="n">
        <v>1982</v>
      </c>
      <c r="G34" s="89" t="n">
        <v>21067</v>
      </c>
      <c r="H34" s="89" t="n">
        <v>1715</v>
      </c>
      <c r="I34" s="89" t="n">
        <v>481</v>
      </c>
      <c r="J34" s="89" t="n">
        <v>109</v>
      </c>
      <c r="K34" s="90" t="n">
        <v>368</v>
      </c>
      <c r="L34" s="89" t="n">
        <v>920</v>
      </c>
      <c r="M34" s="88" t="inlineStr">
        <is>
          <t>80.74%</t>
        </is>
      </c>
      <c r="N34" s="88" t="inlineStr">
        <is>
          <t>8.14%</t>
        </is>
      </c>
      <c r="O34" s="88" t="inlineStr">
        <is>
          <t>2.28%</t>
        </is>
      </c>
      <c r="P34" s="88" t="inlineStr">
        <is>
          <t>6.36%</t>
        </is>
      </c>
      <c r="Q34" s="88" t="inlineStr">
        <is>
          <t>0.52%</t>
        </is>
      </c>
      <c r="R34" s="88" t="inlineStr">
        <is>
          <t>6.57%</t>
        </is>
      </c>
      <c r="S34" s="88" t="inlineStr">
        <is>
          <t>1.84%</t>
        </is>
      </c>
      <c r="T34" s="88" t="inlineStr">
        <is>
          <t>0.42%</t>
        </is>
      </c>
      <c r="U34" s="88" t="inlineStr">
        <is>
          <t>29.62%</t>
        </is>
      </c>
    </row>
    <row r="35">
      <c r="A35" s="88" t="inlineStr">
        <is>
          <t>34</t>
        </is>
      </c>
      <c r="B35" s="91" t="n">
        <v>46145</v>
      </c>
      <c r="C35" s="89" t="n">
        <v>26346</v>
      </c>
      <c r="D35" s="89" t="n">
        <v>26794</v>
      </c>
      <c r="E35" s="89" t="n">
        <v>24971</v>
      </c>
      <c r="F35" s="89" t="n">
        <v>1823</v>
      </c>
      <c r="G35" s="89" t="n">
        <v>20987</v>
      </c>
      <c r="H35" s="89" t="n">
        <v>1564</v>
      </c>
      <c r="I35" s="89" t="n">
        <v>618</v>
      </c>
      <c r="J35" s="89" t="n">
        <v>128</v>
      </c>
      <c r="K35" s="90" t="n">
        <v>321</v>
      </c>
      <c r="L35" s="89" t="n">
        <v>1004</v>
      </c>
      <c r="M35" s="88" t="inlineStr">
        <is>
          <t>79.66%</t>
        </is>
      </c>
      <c r="N35" s="88" t="inlineStr">
        <is>
          <t>7.45%</t>
        </is>
      </c>
      <c r="O35" s="88" t="inlineStr">
        <is>
          <t>2.94%</t>
        </is>
      </c>
      <c r="P35" s="88" t="inlineStr">
        <is>
          <t>8.18%</t>
        </is>
      </c>
      <c r="Q35" s="88" t="inlineStr">
        <is>
          <t>0.61%</t>
        </is>
      </c>
      <c r="R35" s="88" t="inlineStr">
        <is>
          <t>5.94%</t>
        </is>
      </c>
      <c r="S35" s="88" t="inlineStr">
        <is>
          <t>2.35%</t>
        </is>
      </c>
      <c r="T35" s="88" t="inlineStr">
        <is>
          <t>0.49%</t>
        </is>
      </c>
      <c r="U35" s="88" t="inlineStr">
        <is>
          <t>39.88%</t>
        </is>
      </c>
    </row>
    <row r="36">
      <c r="A36" s="88" t="inlineStr">
        <is>
          <t>35</t>
        </is>
      </c>
      <c r="B36" s="91" t="n">
        <v>46146</v>
      </c>
      <c r="C36" s="89" t="n">
        <v>25867</v>
      </c>
      <c r="D36" s="89" t="n">
        <v>25769</v>
      </c>
      <c r="E36" s="89" t="n">
        <v>24028</v>
      </c>
      <c r="F36" s="89" t="n">
        <v>1741</v>
      </c>
      <c r="G36" s="89" t="n">
        <v>21685</v>
      </c>
      <c r="H36" s="89" t="n">
        <v>1728</v>
      </c>
      <c r="I36" s="89" t="n">
        <v>973</v>
      </c>
      <c r="J36" s="89" t="n">
        <v>139</v>
      </c>
      <c r="K36" s="90" t="n">
        <v>405</v>
      </c>
      <c r="L36" s="89" t="n">
        <v>732</v>
      </c>
      <c r="M36" s="88" t="inlineStr">
        <is>
          <t>83.83%</t>
        </is>
      </c>
      <c r="N36" s="88" t="inlineStr">
        <is>
          <t>7.97%</t>
        </is>
      </c>
      <c r="O36" s="88" t="inlineStr">
        <is>
          <t>4.49%</t>
        </is>
      </c>
      <c r="P36" s="88" t="inlineStr">
        <is>
          <t>8.04%</t>
        </is>
      </c>
      <c r="Q36" s="88" t="inlineStr">
        <is>
          <t>0.64%</t>
        </is>
      </c>
      <c r="R36" s="88" t="inlineStr">
        <is>
          <t>6.68%</t>
        </is>
      </c>
      <c r="S36" s="88" t="inlineStr">
        <is>
          <t>3.76%</t>
        </is>
      </c>
      <c r="T36" s="88" t="inlineStr">
        <is>
          <t>0.54%</t>
        </is>
      </c>
      <c r="U36" s="88" t="inlineStr">
        <is>
          <t>34.32%</t>
        </is>
      </c>
    </row>
    <row r="37">
      <c r="A37" s="88" t="inlineStr">
        <is>
          <t>36</t>
        </is>
      </c>
      <c r="B37" s="91" t="n">
        <v>46147</v>
      </c>
      <c r="C37" s="89" t="n">
        <v>26820</v>
      </c>
      <c r="D37" s="89" t="n">
        <v>25198</v>
      </c>
      <c r="E37" s="89" t="n">
        <v>23372</v>
      </c>
      <c r="F37" s="89" t="n">
        <v>1826</v>
      </c>
      <c r="G37" s="89" t="n">
        <v>22232</v>
      </c>
      <c r="H37" s="89" t="n">
        <v>2816</v>
      </c>
      <c r="I37" s="89" t="n">
        <v>2007</v>
      </c>
      <c r="J37" s="89" t="n">
        <v>484</v>
      </c>
      <c r="K37" s="90" t="n">
        <v>739</v>
      </c>
      <c r="L37" s="89" t="n">
        <v>473</v>
      </c>
      <c r="M37" s="88" t="inlineStr">
        <is>
          <t>82.89%</t>
        </is>
      </c>
      <c r="N37" s="88" t="inlineStr">
        <is>
          <t>12.67%</t>
        </is>
      </c>
      <c r="O37" s="88" t="inlineStr">
        <is>
          <t>9.03%</t>
        </is>
      </c>
      <c r="P37" s="88" t="inlineStr">
        <is>
          <t>17.19%</t>
        </is>
      </c>
      <c r="Q37" s="88" t="inlineStr">
        <is>
          <t>2.18%</t>
        </is>
      </c>
      <c r="R37" s="88" t="inlineStr">
        <is>
          <t>10.50%</t>
        </is>
      </c>
      <c r="S37" s="88" t="inlineStr">
        <is>
          <t>7.48%</t>
        </is>
      </c>
      <c r="T37" s="88" t="inlineStr">
        <is>
          <t>1.80%</t>
        </is>
      </c>
      <c r="U37" s="88" t="inlineStr">
        <is>
          <t>65.49%</t>
        </is>
      </c>
    </row>
    <row r="38">
      <c r="A38" s="88" t="inlineStr">
        <is>
          <t>37</t>
        </is>
      </c>
      <c r="B38" s="91" t="n">
        <v>46148</v>
      </c>
      <c r="C38" s="89" t="n">
        <v>20284</v>
      </c>
      <c r="D38" s="89" t="n">
        <v>24612</v>
      </c>
      <c r="E38" s="89" t="n">
        <v>22664</v>
      </c>
      <c r="F38" s="89" t="n">
        <v>1948</v>
      </c>
      <c r="G38" s="89" t="n">
        <v>18186</v>
      </c>
      <c r="H38" s="89" t="n">
        <v>1852</v>
      </c>
      <c r="I38" s="89" t="n">
        <v>1789</v>
      </c>
      <c r="J38" s="89" t="n">
        <v>1191</v>
      </c>
      <c r="K38" s="90" t="n">
        <v>1548</v>
      </c>
      <c r="L38" s="89" t="n">
        <v>255</v>
      </c>
      <c r="M38" s="88" t="inlineStr">
        <is>
          <t>89.66%</t>
        </is>
      </c>
      <c r="N38" s="88" t="inlineStr">
        <is>
          <t>10.18%</t>
        </is>
      </c>
      <c r="O38" s="88" t="inlineStr">
        <is>
          <t>9.84%</t>
        </is>
      </c>
      <c r="P38" s="88" t="inlineStr">
        <is>
          <t>64.31%</t>
        </is>
      </c>
      <c r="Q38" s="88" t="inlineStr">
        <is>
          <t>6.55%</t>
        </is>
      </c>
      <c r="R38" s="88" t="inlineStr">
        <is>
          <t>9.13%</t>
        </is>
      </c>
      <c r="S38" s="88" t="inlineStr">
        <is>
          <t>8.82%</t>
        </is>
      </c>
      <c r="T38" s="88" t="inlineStr">
        <is>
          <t>5.87%</t>
        </is>
      </c>
      <c r="U38" s="88" t="inlineStr">
        <is>
          <t>76.94%</t>
        </is>
      </c>
    </row>
    <row r="39">
      <c r="A39" s="88" t="inlineStr">
        <is>
          <t>38</t>
        </is>
      </c>
      <c r="B39" s="91" t="n">
        <v>46149</v>
      </c>
      <c r="C39" s="89" t="n">
        <v>18575</v>
      </c>
      <c r="D39" s="89" t="n">
        <v>20421</v>
      </c>
      <c r="E39" s="89" t="n">
        <v>18622</v>
      </c>
      <c r="F39" s="89" t="n">
        <v>1799</v>
      </c>
      <c r="G39" s="89" t="n">
        <v>17277</v>
      </c>
      <c r="H39" s="89" t="n">
        <v>1500</v>
      </c>
      <c r="I39" s="89" t="n">
        <v>1636</v>
      </c>
      <c r="J39" s="89" t="n">
        <v>3529</v>
      </c>
      <c r="K39" s="90" t="n">
        <v>4862</v>
      </c>
      <c r="L39" s="89" t="n">
        <v>80</v>
      </c>
      <c r="M39" s="88" t="inlineStr">
        <is>
          <t>93.01%</t>
        </is>
      </c>
      <c r="N39" s="88" t="inlineStr">
        <is>
          <t>8.68%</t>
        </is>
      </c>
      <c r="O39" s="88" t="inlineStr">
        <is>
          <t>9.47%</t>
        </is>
      </c>
      <c r="P39" s="88" t="inlineStr">
        <is>
          <t>235.27%</t>
        </is>
      </c>
      <c r="Q39" s="88" t="inlineStr">
        <is>
          <t>20.43%</t>
        </is>
      </c>
      <c r="R39" s="88" t="inlineStr">
        <is>
          <t>8.08%</t>
        </is>
      </c>
      <c r="S39" s="88" t="inlineStr">
        <is>
          <t>8.81%</t>
        </is>
      </c>
      <c r="T39" s="88" t="inlineStr">
        <is>
          <t>19.00%</t>
        </is>
      </c>
      <c r="U39" s="88" t="inlineStr">
        <is>
          <t>72.58%</t>
        </is>
      </c>
    </row>
    <row r="40">
      <c r="A40" s="25" t="n"/>
      <c r="B40" s="28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3" t="n"/>
      <c r="L40" s="92" t="n"/>
      <c r="M40" s="25" t="n"/>
      <c r="N40" s="25" t="n"/>
      <c r="O40" s="25" t="n"/>
      <c r="P40" s="25" t="n"/>
      <c r="Q40" s="25" t="n"/>
      <c r="R40" s="25" t="n"/>
      <c r="S40" s="25" t="n"/>
      <c r="T40" s="25" t="n"/>
      <c r="U40" s="25" t="n"/>
    </row>
    <row r="41">
      <c r="A41" s="25" t="n"/>
      <c r="B41" s="28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3" t="n"/>
      <c r="L41" s="92" t="n"/>
      <c r="M41" s="25" t="n"/>
      <c r="N41" s="25" t="n"/>
      <c r="O41" s="25" t="n"/>
      <c r="P41" s="25" t="n"/>
      <c r="Q41" s="25" t="n"/>
      <c r="R41" s="25" t="n"/>
      <c r="S41" s="25" t="n"/>
      <c r="T41" s="25" t="n"/>
      <c r="U41" s="25" t="n"/>
    </row>
    <row r="42">
      <c r="A42" s="25" t="n"/>
      <c r="B42" s="28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3" t="n"/>
      <c r="L42" s="92" t="n"/>
      <c r="M42" s="25" t="n"/>
      <c r="N42" s="25" t="n"/>
      <c r="O42" s="25" t="n"/>
      <c r="P42" s="25" t="n"/>
      <c r="Q42" s="25" t="n"/>
      <c r="R42" s="25" t="n"/>
      <c r="S42" s="25" t="n"/>
      <c r="T42" s="25" t="n"/>
      <c r="U42" s="25" t="n"/>
    </row>
    <row r="43">
      <c r="A43" s="25" t="n"/>
      <c r="B43" s="28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3" t="n"/>
      <c r="L43" s="92" t="n"/>
      <c r="M43" s="25" t="n"/>
      <c r="N43" s="25" t="n"/>
      <c r="O43" s="25" t="n"/>
      <c r="P43" s="25" t="n"/>
      <c r="Q43" s="25" t="n"/>
      <c r="R43" s="25" t="n"/>
      <c r="S43" s="25" t="n"/>
      <c r="T43" s="25" t="n"/>
      <c r="U43" s="25" t="n"/>
    </row>
    <row r="44">
      <c r="A44" s="25" t="n"/>
      <c r="B44" s="28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3" t="n"/>
      <c r="L44" s="92" t="n"/>
      <c r="M44" s="25" t="n"/>
      <c r="N44" s="25" t="n"/>
      <c r="O44" s="25" t="n"/>
      <c r="P44" s="25" t="n"/>
      <c r="Q44" s="25" t="n"/>
      <c r="R44" s="25" t="n"/>
      <c r="S44" s="25" t="n"/>
      <c r="T44" s="25" t="n"/>
      <c r="U44" s="25" t="n"/>
    </row>
    <row r="45">
      <c r="A45" s="25" t="n"/>
      <c r="B45" s="28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3" t="n"/>
      <c r="L45" s="92" t="n"/>
      <c r="M45" s="25" t="n"/>
      <c r="N45" s="25" t="n"/>
      <c r="O45" s="25" t="n"/>
      <c r="P45" s="25" t="n"/>
      <c r="Q45" s="25" t="n"/>
      <c r="R45" s="25" t="n"/>
      <c r="S45" s="25" t="n"/>
      <c r="T45" s="25" t="n"/>
      <c r="U45" s="25" t="n"/>
    </row>
    <row r="46">
      <c r="A46" s="25" t="n"/>
      <c r="B46" s="28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3" t="n"/>
      <c r="L46" s="92" t="n"/>
      <c r="M46" s="25" t="n"/>
      <c r="N46" s="25" t="n"/>
      <c r="O46" s="25" t="n"/>
      <c r="P46" s="25" t="n"/>
      <c r="Q46" s="25" t="n"/>
      <c r="R46" s="25" t="n"/>
      <c r="S46" s="25" t="n"/>
      <c r="T46" s="25" t="n"/>
      <c r="U46" s="25" t="n"/>
    </row>
    <row r="47">
      <c r="A47" s="25" t="n"/>
      <c r="B47" s="28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3" t="n"/>
      <c r="L47" s="92" t="n"/>
      <c r="M47" s="25" t="n"/>
      <c r="N47" s="25" t="n"/>
      <c r="O47" s="25" t="n"/>
      <c r="P47" s="25" t="n"/>
      <c r="Q47" s="25" t="n"/>
      <c r="R47" s="25" t="n"/>
      <c r="S47" s="25" t="n"/>
      <c r="T47" s="25" t="n"/>
      <c r="U47" s="25" t="n"/>
    </row>
    <row r="48">
      <c r="A48" s="25" t="n"/>
      <c r="B48" s="28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3" t="n"/>
      <c r="L48" s="92" t="n"/>
      <c r="M48" s="25" t="n"/>
      <c r="N48" s="25" t="n"/>
      <c r="O48" s="25" t="n"/>
      <c r="P48" s="25" t="n"/>
      <c r="Q48" s="25" t="n"/>
      <c r="R48" s="25" t="n"/>
      <c r="S48" s="25" t="n"/>
      <c r="T48" s="25" t="n"/>
      <c r="U48" s="25" t="n"/>
    </row>
    <row r="49">
      <c r="A49" s="25" t="n"/>
      <c r="B49" s="28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3" t="n"/>
      <c r="L49" s="92" t="n"/>
      <c r="M49" s="25" t="n"/>
      <c r="N49" s="25" t="n"/>
      <c r="O49" s="25" t="n"/>
      <c r="P49" s="25" t="n"/>
      <c r="Q49" s="25" t="n"/>
      <c r="R49" s="25" t="n"/>
      <c r="S49" s="25" t="n"/>
      <c r="T49" s="25" t="n"/>
      <c r="U49" s="25" t="n"/>
    </row>
    <row r="50">
      <c r="A50" s="25" t="n"/>
      <c r="B50" s="28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3" t="n"/>
      <c r="L50" s="92" t="n"/>
      <c r="M50" s="25" t="n"/>
      <c r="N50" s="25" t="n"/>
      <c r="O50" s="25" t="n"/>
      <c r="P50" s="25" t="n"/>
      <c r="Q50" s="25" t="n"/>
      <c r="R50" s="25" t="n"/>
      <c r="S50" s="25" t="n"/>
      <c r="T50" s="25" t="n"/>
      <c r="U50" s="25" t="n"/>
    </row>
    <row r="51">
      <c r="A51" s="25" t="n"/>
      <c r="B51" s="28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3" t="n"/>
      <c r="L51" s="92" t="n"/>
      <c r="M51" s="25" t="n"/>
      <c r="N51" s="25" t="n"/>
      <c r="O51" s="25" t="n"/>
      <c r="P51" s="25" t="n"/>
      <c r="Q51" s="25" t="n"/>
      <c r="R51" s="25" t="n"/>
      <c r="S51" s="25" t="n"/>
      <c r="T51" s="25" t="n"/>
      <c r="U51" s="25" t="n"/>
    </row>
    <row r="52">
      <c r="A52" s="25" t="n"/>
      <c r="B52" s="28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3" t="n"/>
      <c r="L52" s="92" t="n"/>
      <c r="M52" s="25" t="n"/>
      <c r="N52" s="25" t="n"/>
      <c r="O52" s="25" t="n"/>
      <c r="P52" s="25" t="n"/>
      <c r="Q52" s="25" t="n"/>
      <c r="R52" s="25" t="n"/>
      <c r="S52" s="25" t="n"/>
      <c r="T52" s="25" t="n"/>
      <c r="U52" s="25" t="n"/>
    </row>
    <row r="53">
      <c r="A53" s="25" t="n"/>
      <c r="B53" s="28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3" t="n"/>
      <c r="L53" s="92" t="n"/>
      <c r="M53" s="25" t="n"/>
      <c r="N53" s="25" t="n"/>
      <c r="O53" s="25" t="n"/>
      <c r="P53" s="25" t="n"/>
      <c r="Q53" s="25" t="n"/>
      <c r="R53" s="25" t="n"/>
      <c r="S53" s="25" t="n"/>
      <c r="T53" s="25" t="n"/>
      <c r="U53" s="25" t="n"/>
    </row>
    <row r="54">
      <c r="A54" s="25" t="n"/>
      <c r="B54" s="28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3" t="n"/>
      <c r="L54" s="92" t="n"/>
      <c r="M54" s="25" t="n"/>
      <c r="N54" s="25" t="n"/>
      <c r="O54" s="25" t="n"/>
      <c r="P54" s="25" t="n"/>
      <c r="Q54" s="25" t="n"/>
      <c r="R54" s="25" t="n"/>
      <c r="S54" s="25" t="n"/>
      <c r="T54" s="25" t="n"/>
      <c r="U54" s="25" t="n"/>
    </row>
    <row r="55">
      <c r="A55" s="25" t="n"/>
      <c r="B55" s="28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3" t="n"/>
      <c r="L55" s="92" t="n"/>
      <c r="M55" s="25" t="n"/>
      <c r="N55" s="25" t="n"/>
      <c r="O55" s="25" t="n"/>
      <c r="P55" s="25" t="n"/>
      <c r="Q55" s="25" t="n"/>
      <c r="R55" s="25" t="n"/>
      <c r="S55" s="25" t="n"/>
      <c r="T55" s="25" t="n"/>
      <c r="U55" s="25" t="n"/>
    </row>
    <row r="56">
      <c r="A56" s="25" t="n"/>
      <c r="B56" s="28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3" t="n"/>
      <c r="L56" s="92" t="n"/>
      <c r="M56" s="25" t="n"/>
      <c r="N56" s="25" t="n"/>
      <c r="O56" s="25" t="n"/>
      <c r="P56" s="25" t="n"/>
      <c r="Q56" s="25" t="n"/>
      <c r="R56" s="25" t="n"/>
      <c r="S56" s="25" t="n"/>
      <c r="T56" s="25" t="n"/>
      <c r="U56" s="25" t="n"/>
    </row>
    <row r="57">
      <c r="A57" s="25" t="n"/>
      <c r="B57" s="28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3" t="n"/>
      <c r="L57" s="92" t="n"/>
      <c r="M57" s="25" t="n"/>
      <c r="N57" s="25" t="n"/>
      <c r="O57" s="25" t="n"/>
      <c r="P57" s="25" t="n"/>
      <c r="Q57" s="25" t="n"/>
      <c r="R57" s="25" t="n"/>
      <c r="S57" s="25" t="n"/>
      <c r="T57" s="25" t="n"/>
      <c r="U57" s="25" t="n"/>
    </row>
    <row r="58">
      <c r="A58" s="25" t="n"/>
      <c r="B58" s="28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3" t="n"/>
      <c r="L58" s="92" t="n"/>
      <c r="M58" s="25" t="n"/>
      <c r="N58" s="25" t="n"/>
      <c r="O58" s="25" t="n"/>
      <c r="P58" s="25" t="n"/>
      <c r="Q58" s="25" t="n"/>
      <c r="R58" s="25" t="n"/>
      <c r="S58" s="25" t="n"/>
      <c r="T58" s="25" t="n"/>
      <c r="U58" s="25" t="n"/>
    </row>
    <row r="59">
      <c r="A59" s="25" t="n"/>
      <c r="B59" s="28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3" t="n"/>
      <c r="L59" s="92" t="n"/>
      <c r="M59" s="25" t="n"/>
      <c r="N59" s="25" t="n"/>
      <c r="O59" s="25" t="n"/>
      <c r="P59" s="25" t="n"/>
      <c r="Q59" s="25" t="n"/>
      <c r="R59" s="25" t="n"/>
      <c r="S59" s="25" t="n"/>
      <c r="T59" s="25" t="n"/>
      <c r="U59" s="25" t="n"/>
    </row>
    <row r="60">
      <c r="A60" s="25" t="n"/>
      <c r="B60" s="28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3" t="n"/>
      <c r="L60" s="92" t="n"/>
      <c r="M60" s="25" t="n"/>
      <c r="N60" s="25" t="n"/>
      <c r="O60" s="25" t="n"/>
      <c r="P60" s="25" t="n"/>
      <c r="Q60" s="25" t="n"/>
      <c r="R60" s="25" t="n"/>
      <c r="S60" s="25" t="n"/>
      <c r="T60" s="25" t="n"/>
      <c r="U60" s="25" t="n"/>
    </row>
    <row r="61">
      <c r="A61" s="25" t="n"/>
      <c r="B61" s="28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3" t="n"/>
      <c r="L61" s="92" t="n"/>
      <c r="M61" s="25" t="n"/>
      <c r="N61" s="25" t="n"/>
      <c r="O61" s="25" t="n"/>
      <c r="P61" s="25" t="n"/>
      <c r="Q61" s="25" t="n"/>
      <c r="R61" s="25" t="n"/>
      <c r="S61" s="25" t="n"/>
      <c r="T61" s="25" t="n"/>
      <c r="U61" s="25" t="n"/>
    </row>
    <row r="62">
      <c r="A62" s="25" t="n"/>
      <c r="B62" s="28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3" t="n"/>
      <c r="L62" s="92" t="n"/>
      <c r="M62" s="25" t="n"/>
      <c r="N62" s="25" t="n"/>
      <c r="O62" s="25" t="n"/>
      <c r="P62" s="25" t="n"/>
      <c r="Q62" s="25" t="n"/>
      <c r="R62" s="25" t="n"/>
      <c r="S62" s="25" t="n"/>
      <c r="T62" s="25" t="n"/>
      <c r="U62" s="25" t="n"/>
    </row>
    <row r="63">
      <c r="A63" s="25" t="n"/>
      <c r="B63" s="28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3" t="n"/>
      <c r="L63" s="92" t="n"/>
      <c r="M63" s="25" t="n"/>
      <c r="N63" s="25" t="n"/>
      <c r="O63" s="25" t="n"/>
      <c r="P63" s="25" t="n"/>
      <c r="Q63" s="25" t="n"/>
      <c r="R63" s="25" t="n"/>
      <c r="S63" s="25" t="n"/>
      <c r="T63" s="25" t="n"/>
      <c r="U63" s="25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7" t="inlineStr">
        <is>
          <t>序号</t>
        </is>
      </c>
      <c r="B1" s="87" t="inlineStr">
        <is>
          <t>按日</t>
        </is>
      </c>
      <c r="C1" s="87" t="inlineStr">
        <is>
          <t>线索总量</t>
        </is>
      </c>
      <c r="D1" s="87" t="inlineStr">
        <is>
          <t>应回访线索量</t>
        </is>
      </c>
      <c r="E1" s="87" t="inlineStr">
        <is>
          <t>按时回访量</t>
        </is>
      </c>
      <c r="F1" s="87" t="inlineStr">
        <is>
          <t>超时回访量</t>
        </is>
      </c>
      <c r="G1" s="87" t="inlineStr">
        <is>
          <t>有效线索量</t>
        </is>
      </c>
      <c r="H1" s="87" t="inlineStr">
        <is>
          <t>到店量</t>
        </is>
      </c>
      <c r="I1" s="87" t="inlineStr">
        <is>
          <t>订单量</t>
        </is>
      </c>
      <c r="J1" s="87" t="inlineStr">
        <is>
          <t>成交量</t>
        </is>
      </c>
      <c r="K1" s="87" t="inlineStr">
        <is>
          <t>总成交量</t>
        </is>
      </c>
      <c r="L1" s="87" t="inlineStr">
        <is>
          <t>战败线索量</t>
        </is>
      </c>
      <c r="M1" s="87" t="inlineStr">
        <is>
          <t>线索有效率</t>
        </is>
      </c>
      <c r="N1" s="87" t="inlineStr">
        <is>
          <t>有效线索到店率</t>
        </is>
      </c>
      <c r="O1" s="87" t="inlineStr">
        <is>
          <t>有效线索下订率</t>
        </is>
      </c>
      <c r="P1" s="87" t="inlineStr">
        <is>
          <t>到店成交率</t>
        </is>
      </c>
      <c r="Q1" s="87" t="inlineStr">
        <is>
          <t>有效线索转化率</t>
        </is>
      </c>
      <c r="R1" s="87" t="inlineStr">
        <is>
          <t>线索到店率</t>
        </is>
      </c>
      <c r="S1" s="87" t="inlineStr">
        <is>
          <t>线索下订率</t>
        </is>
      </c>
      <c r="T1" s="87" t="inlineStr">
        <is>
          <t>线索转化率</t>
        </is>
      </c>
      <c r="U1" s="87" t="inlineStr">
        <is>
          <t>数营成交贡献度</t>
        </is>
      </c>
    </row>
    <row r="2">
      <c r="A2" s="88" t="inlineStr">
        <is>
          <t>1</t>
        </is>
      </c>
      <c r="B2" s="88" t="inlineStr">
        <is>
          <t>合计</t>
        </is>
      </c>
      <c r="C2" s="89" t="n">
        <v>59865</v>
      </c>
      <c r="D2" s="89" t="n">
        <v>59777</v>
      </c>
      <c r="E2" s="89" t="n">
        <v>54075</v>
      </c>
      <c r="F2" s="89" t="n">
        <v>5702</v>
      </c>
      <c r="G2" s="89" t="n">
        <v>44558</v>
      </c>
      <c r="H2" s="89" t="n">
        <v>2091</v>
      </c>
      <c r="I2" s="89" t="n">
        <v>807</v>
      </c>
      <c r="J2" s="89" t="n">
        <v>462</v>
      </c>
      <c r="K2" s="90" t="n">
        <v>28157</v>
      </c>
      <c r="L2" s="89" t="n">
        <v>3014</v>
      </c>
      <c r="M2" s="88" t="inlineStr">
        <is>
          <t>74.43%</t>
        </is>
      </c>
      <c r="N2" s="88" t="inlineStr">
        <is>
          <t>4.69%</t>
        </is>
      </c>
      <c r="O2" s="88" t="inlineStr">
        <is>
          <t>1.81%</t>
        </is>
      </c>
      <c r="P2" s="88" t="inlineStr">
        <is>
          <t>22.09%</t>
        </is>
      </c>
      <c r="Q2" s="88" t="inlineStr">
        <is>
          <t>1.04%</t>
        </is>
      </c>
      <c r="R2" s="88" t="inlineStr">
        <is>
          <t>3.49%</t>
        </is>
      </c>
      <c r="S2" s="88" t="inlineStr">
        <is>
          <t>1.35%</t>
        </is>
      </c>
      <c r="T2" s="88" t="inlineStr">
        <is>
          <t>0.77%</t>
        </is>
      </c>
      <c r="U2" s="88" t="inlineStr">
        <is>
          <t>1.64%</t>
        </is>
      </c>
    </row>
    <row r="3">
      <c r="A3" s="88" t="inlineStr">
        <is>
          <t>2</t>
        </is>
      </c>
      <c r="B3" s="91" t="n">
        <v>46113</v>
      </c>
      <c r="C3" s="89" t="n">
        <v>1286</v>
      </c>
      <c r="D3" s="89" t="n">
        <v>1238</v>
      </c>
      <c r="E3" s="89" t="n">
        <v>1113</v>
      </c>
      <c r="F3" s="89" t="n">
        <v>125</v>
      </c>
      <c r="G3" s="89" t="n">
        <v>826</v>
      </c>
      <c r="H3" s="89" t="n">
        <v>31</v>
      </c>
      <c r="I3" s="89" t="n">
        <v>3</v>
      </c>
      <c r="J3" s="89" t="n">
        <v>8</v>
      </c>
      <c r="K3" s="90" t="n">
        <v>344</v>
      </c>
      <c r="L3" s="89" t="n">
        <v>91</v>
      </c>
      <c r="M3" s="88" t="inlineStr">
        <is>
          <t>64.23%</t>
        </is>
      </c>
      <c r="N3" s="88" t="inlineStr">
        <is>
          <t>3.75%</t>
        </is>
      </c>
      <c r="O3" s="88" t="inlineStr">
        <is>
          <t>0.36%</t>
        </is>
      </c>
      <c r="P3" s="88" t="inlineStr">
        <is>
          <t>25.81%</t>
        </is>
      </c>
      <c r="Q3" s="88" t="inlineStr">
        <is>
          <t>0.97%</t>
        </is>
      </c>
      <c r="R3" s="88" t="inlineStr">
        <is>
          <t>2.41%</t>
        </is>
      </c>
      <c r="S3" s="88" t="inlineStr">
        <is>
          <t>0.23%</t>
        </is>
      </c>
      <c r="T3" s="88" t="inlineStr">
        <is>
          <t>0.62%</t>
        </is>
      </c>
      <c r="U3" s="88" t="inlineStr">
        <is>
          <t>2.33%</t>
        </is>
      </c>
    </row>
    <row r="4">
      <c r="A4" s="88" t="inlineStr">
        <is>
          <t>3</t>
        </is>
      </c>
      <c r="B4" s="91" t="n">
        <v>46114</v>
      </c>
      <c r="C4" s="89" t="n">
        <v>1049</v>
      </c>
      <c r="D4" s="89" t="n">
        <v>1167</v>
      </c>
      <c r="E4" s="89" t="n">
        <v>1053</v>
      </c>
      <c r="F4" s="89" t="n">
        <v>114</v>
      </c>
      <c r="G4" s="89" t="n">
        <v>681</v>
      </c>
      <c r="H4" s="89" t="n">
        <v>38</v>
      </c>
      <c r="I4" s="89" t="n">
        <v>1</v>
      </c>
      <c r="J4" s="89" t="n">
        <v>2</v>
      </c>
      <c r="K4" s="90" t="n">
        <v>187</v>
      </c>
      <c r="L4" s="89" t="n">
        <v>91</v>
      </c>
      <c r="M4" s="88" t="inlineStr">
        <is>
          <t>64.92%</t>
        </is>
      </c>
      <c r="N4" s="88" t="inlineStr">
        <is>
          <t>5.58%</t>
        </is>
      </c>
      <c r="O4" s="88" t="inlineStr">
        <is>
          <t>0.15%</t>
        </is>
      </c>
      <c r="P4" s="88" t="inlineStr">
        <is>
          <t>5.26%</t>
        </is>
      </c>
      <c r="Q4" s="88" t="inlineStr">
        <is>
          <t>0.29%</t>
        </is>
      </c>
      <c r="R4" s="88" t="inlineStr">
        <is>
          <t>3.62%</t>
        </is>
      </c>
      <c r="S4" s="88" t="inlineStr">
        <is>
          <t>0.10%</t>
        </is>
      </c>
      <c r="T4" s="88" t="inlineStr">
        <is>
          <t>0.19%</t>
        </is>
      </c>
      <c r="U4" s="88" t="inlineStr">
        <is>
          <t>1.07%</t>
        </is>
      </c>
    </row>
    <row r="5">
      <c r="A5" s="88" t="inlineStr">
        <is>
          <t>4</t>
        </is>
      </c>
      <c r="B5" s="91" t="n">
        <v>46115</v>
      </c>
      <c r="C5" s="89" t="n">
        <v>1168</v>
      </c>
      <c r="D5" s="89" t="n">
        <v>1134</v>
      </c>
      <c r="E5" s="89" t="n">
        <v>1048</v>
      </c>
      <c r="F5" s="89" t="n">
        <v>86</v>
      </c>
      <c r="G5" s="89" t="n">
        <v>758</v>
      </c>
      <c r="H5" s="89" t="n">
        <v>36</v>
      </c>
      <c r="I5" s="89" t="n">
        <v>2</v>
      </c>
      <c r="J5" s="89" t="n">
        <v>-2</v>
      </c>
      <c r="K5" s="90" t="n">
        <v>178</v>
      </c>
      <c r="L5" s="89" t="n">
        <v>94</v>
      </c>
      <c r="M5" s="88" t="inlineStr">
        <is>
          <t>64.90%</t>
        </is>
      </c>
      <c r="N5" s="88" t="inlineStr">
        <is>
          <t>4.75%</t>
        </is>
      </c>
      <c r="O5" s="88" t="inlineStr">
        <is>
          <t>0.26%</t>
        </is>
      </c>
      <c r="P5" s="88" t="inlineStr">
        <is>
          <t>-5.56%</t>
        </is>
      </c>
      <c r="Q5" s="88" t="inlineStr">
        <is>
          <t>-0.26%</t>
        </is>
      </c>
      <c r="R5" s="88" t="inlineStr">
        <is>
          <t>3.08%</t>
        </is>
      </c>
      <c r="S5" s="88" t="inlineStr">
        <is>
          <t>0.17%</t>
        </is>
      </c>
      <c r="T5" s="88" t="inlineStr">
        <is>
          <t>-0.17%</t>
        </is>
      </c>
      <c r="U5" s="88" t="inlineStr">
        <is>
          <t>-1.12%</t>
        </is>
      </c>
    </row>
    <row r="6">
      <c r="A6" s="88" t="inlineStr">
        <is>
          <t>5</t>
        </is>
      </c>
      <c r="B6" s="91" t="n">
        <v>46116</v>
      </c>
      <c r="C6" s="89" t="n">
        <v>1078</v>
      </c>
      <c r="D6" s="89" t="n">
        <v>1088</v>
      </c>
      <c r="E6" s="89" t="n">
        <v>1006</v>
      </c>
      <c r="F6" s="89" t="n">
        <v>82</v>
      </c>
      <c r="G6" s="89" t="n">
        <v>683</v>
      </c>
      <c r="H6" s="89" t="n">
        <v>36</v>
      </c>
      <c r="I6" s="89" t="n">
        <v>2</v>
      </c>
      <c r="J6" s="89" t="n">
        <v>0</v>
      </c>
      <c r="K6" s="90" t="n">
        <v>142</v>
      </c>
      <c r="L6" s="89" t="n">
        <v>79</v>
      </c>
      <c r="M6" s="88" t="inlineStr">
        <is>
          <t>63.36%</t>
        </is>
      </c>
      <c r="N6" s="88" t="inlineStr">
        <is>
          <t>5.27%</t>
        </is>
      </c>
      <c r="O6" s="88" t="inlineStr">
        <is>
          <t>0.29%</t>
        </is>
      </c>
      <c r="P6" s="88" t="inlineStr">
        <is>
          <t>0.00%</t>
        </is>
      </c>
      <c r="Q6" s="88" t="inlineStr">
        <is>
          <t>0.00%</t>
        </is>
      </c>
      <c r="R6" s="88" t="inlineStr">
        <is>
          <t>3.34%</t>
        </is>
      </c>
      <c r="S6" s="88" t="inlineStr">
        <is>
          <t>0.19%</t>
        </is>
      </c>
      <c r="T6" s="88" t="inlineStr">
        <is>
          <t>0.00%</t>
        </is>
      </c>
      <c r="U6" s="88" t="inlineStr">
        <is>
          <t>0.00%</t>
        </is>
      </c>
    </row>
    <row r="7">
      <c r="A7" s="88" t="inlineStr">
        <is>
          <t>6</t>
        </is>
      </c>
      <c r="B7" s="91" t="n">
        <v>46117</v>
      </c>
      <c r="C7" s="89" t="n">
        <v>1189</v>
      </c>
      <c r="D7" s="89" t="n">
        <v>1105</v>
      </c>
      <c r="E7" s="89" t="n">
        <v>1022</v>
      </c>
      <c r="F7" s="89" t="n">
        <v>83</v>
      </c>
      <c r="G7" s="89" t="n">
        <v>805</v>
      </c>
      <c r="H7" s="89" t="n">
        <v>58</v>
      </c>
      <c r="I7" s="89" t="n">
        <v>3</v>
      </c>
      <c r="J7" s="89" t="n">
        <v>0</v>
      </c>
      <c r="K7" s="90" t="n">
        <v>93</v>
      </c>
      <c r="L7" s="89" t="n">
        <v>101</v>
      </c>
      <c r="M7" s="88" t="inlineStr">
        <is>
          <t>67.70%</t>
        </is>
      </c>
      <c r="N7" s="88" t="inlineStr">
        <is>
          <t>7.20%</t>
        </is>
      </c>
      <c r="O7" s="88" t="inlineStr">
        <is>
          <t>0.37%</t>
        </is>
      </c>
      <c r="P7" s="88" t="inlineStr">
        <is>
          <t>0.00%</t>
        </is>
      </c>
      <c r="Q7" s="88" t="inlineStr">
        <is>
          <t>0.00%</t>
        </is>
      </c>
      <c r="R7" s="88" t="inlineStr">
        <is>
          <t>4.88%</t>
        </is>
      </c>
      <c r="S7" s="88" t="inlineStr">
        <is>
          <t>0.25%</t>
        </is>
      </c>
      <c r="T7" s="88" t="inlineStr">
        <is>
          <t>0.00%</t>
        </is>
      </c>
      <c r="U7" s="88" t="inlineStr">
        <is>
          <t>0.00%</t>
        </is>
      </c>
    </row>
    <row r="8">
      <c r="A8" s="88" t="inlineStr">
        <is>
          <t>7</t>
        </is>
      </c>
      <c r="B8" s="91" t="n">
        <v>46118</v>
      </c>
      <c r="C8" s="89" t="n">
        <v>1247</v>
      </c>
      <c r="D8" s="89" t="n">
        <v>1151</v>
      </c>
      <c r="E8" s="89" t="n">
        <v>1048</v>
      </c>
      <c r="F8" s="89" t="n">
        <v>103</v>
      </c>
      <c r="G8" s="89" t="n">
        <v>845</v>
      </c>
      <c r="H8" s="89" t="n">
        <v>60</v>
      </c>
      <c r="I8" s="89" t="n">
        <v>3</v>
      </c>
      <c r="J8" s="89" t="n">
        <v>1</v>
      </c>
      <c r="K8" s="90" t="n">
        <v>125</v>
      </c>
      <c r="L8" s="89" t="n">
        <v>91</v>
      </c>
      <c r="M8" s="88" t="inlineStr">
        <is>
          <t>67.76%</t>
        </is>
      </c>
      <c r="N8" s="88" t="inlineStr">
        <is>
          <t>7.10%</t>
        </is>
      </c>
      <c r="O8" s="88" t="inlineStr">
        <is>
          <t>0.36%</t>
        </is>
      </c>
      <c r="P8" s="88" t="inlineStr">
        <is>
          <t>1.67%</t>
        </is>
      </c>
      <c r="Q8" s="88" t="inlineStr">
        <is>
          <t>0.12%</t>
        </is>
      </c>
      <c r="R8" s="88" t="inlineStr">
        <is>
          <t>4.81%</t>
        </is>
      </c>
      <c r="S8" s="88" t="inlineStr">
        <is>
          <t>0.24%</t>
        </is>
      </c>
      <c r="T8" s="88" t="inlineStr">
        <is>
          <t>0.08%</t>
        </is>
      </c>
      <c r="U8" s="88" t="inlineStr">
        <is>
          <t>0.80%</t>
        </is>
      </c>
    </row>
    <row r="9">
      <c r="A9" s="88" t="inlineStr">
        <is>
          <t>8</t>
        </is>
      </c>
      <c r="B9" s="91" t="n">
        <v>46119</v>
      </c>
      <c r="C9" s="89" t="n">
        <v>1185</v>
      </c>
      <c r="D9" s="89" t="n">
        <v>1230</v>
      </c>
      <c r="E9" s="89" t="n">
        <v>1129</v>
      </c>
      <c r="F9" s="89" t="n">
        <v>101</v>
      </c>
      <c r="G9" s="89" t="n">
        <v>765</v>
      </c>
      <c r="H9" s="89" t="n">
        <v>29</v>
      </c>
      <c r="I9" s="89" t="n">
        <v>5</v>
      </c>
      <c r="J9" s="89" t="n">
        <v>0</v>
      </c>
      <c r="K9" s="90" t="n">
        <v>188</v>
      </c>
      <c r="L9" s="89" t="n">
        <v>102</v>
      </c>
      <c r="M9" s="88" t="inlineStr">
        <is>
          <t>64.56%</t>
        </is>
      </c>
      <c r="N9" s="88" t="inlineStr">
        <is>
          <t>3.79%</t>
        </is>
      </c>
      <c r="O9" s="88" t="inlineStr">
        <is>
          <t>0.65%</t>
        </is>
      </c>
      <c r="P9" s="88" t="inlineStr">
        <is>
          <t>0.00%</t>
        </is>
      </c>
      <c r="Q9" s="88" t="inlineStr">
        <is>
          <t>0.00%</t>
        </is>
      </c>
      <c r="R9" s="88" t="inlineStr">
        <is>
          <t>2.45%</t>
        </is>
      </c>
      <c r="S9" s="88" t="inlineStr">
        <is>
          <t>0.42%</t>
        </is>
      </c>
      <c r="T9" s="88" t="inlineStr">
        <is>
          <t>0.00%</t>
        </is>
      </c>
      <c r="U9" s="88" t="inlineStr">
        <is>
          <t>0.00%</t>
        </is>
      </c>
    </row>
    <row r="10">
      <c r="A10" s="88" t="inlineStr">
        <is>
          <t>9</t>
        </is>
      </c>
      <c r="B10" s="91" t="n">
        <v>46120</v>
      </c>
      <c r="C10" s="89" t="n">
        <v>1033</v>
      </c>
      <c r="D10" s="89" t="n">
        <v>1157</v>
      </c>
      <c r="E10" s="89" t="n">
        <v>1041</v>
      </c>
      <c r="F10" s="89" t="n">
        <v>116</v>
      </c>
      <c r="G10" s="89" t="n">
        <v>700</v>
      </c>
      <c r="H10" s="89" t="n">
        <v>34</v>
      </c>
      <c r="I10" s="89" t="n">
        <v>4</v>
      </c>
      <c r="J10" s="89" t="n">
        <v>3</v>
      </c>
      <c r="K10" s="90" t="n">
        <v>191</v>
      </c>
      <c r="L10" s="89" t="n">
        <v>65</v>
      </c>
      <c r="M10" s="88" t="inlineStr">
        <is>
          <t>67.76%</t>
        </is>
      </c>
      <c r="N10" s="88" t="inlineStr">
        <is>
          <t>4.86%</t>
        </is>
      </c>
      <c r="O10" s="88" t="inlineStr">
        <is>
          <t>0.57%</t>
        </is>
      </c>
      <c r="P10" s="88" t="inlineStr">
        <is>
          <t>8.82%</t>
        </is>
      </c>
      <c r="Q10" s="88" t="inlineStr">
        <is>
          <t>0.43%</t>
        </is>
      </c>
      <c r="R10" s="88" t="inlineStr">
        <is>
          <t>3.29%</t>
        </is>
      </c>
      <c r="S10" s="88" t="inlineStr">
        <is>
          <t>0.39%</t>
        </is>
      </c>
      <c r="T10" s="88" t="inlineStr">
        <is>
          <t>0.29%</t>
        </is>
      </c>
      <c r="U10" s="88" t="inlineStr">
        <is>
          <t>1.57%</t>
        </is>
      </c>
    </row>
    <row r="11">
      <c r="A11" s="88" t="inlineStr">
        <is>
          <t>10</t>
        </is>
      </c>
      <c r="B11" s="91" t="n">
        <v>46121</v>
      </c>
      <c r="C11" s="89" t="n">
        <v>1148</v>
      </c>
      <c r="D11" s="89" t="n">
        <v>1118</v>
      </c>
      <c r="E11" s="89" t="n">
        <v>1006</v>
      </c>
      <c r="F11" s="89" t="n">
        <v>112</v>
      </c>
      <c r="G11" s="89" t="n">
        <v>752</v>
      </c>
      <c r="H11" s="89" t="n">
        <v>26</v>
      </c>
      <c r="I11" s="89" t="n">
        <v>3</v>
      </c>
      <c r="J11" s="89" t="n">
        <v>1</v>
      </c>
      <c r="K11" s="90" t="n">
        <v>112</v>
      </c>
      <c r="L11" s="89" t="n">
        <v>74</v>
      </c>
      <c r="M11" s="88" t="inlineStr">
        <is>
          <t>65.51%</t>
        </is>
      </c>
      <c r="N11" s="88" t="inlineStr">
        <is>
          <t>3.46%</t>
        </is>
      </c>
      <c r="O11" s="88" t="inlineStr">
        <is>
          <t>0.40%</t>
        </is>
      </c>
      <c r="P11" s="88" t="inlineStr">
        <is>
          <t>3.85%</t>
        </is>
      </c>
      <c r="Q11" s="88" t="inlineStr">
        <is>
          <t>0.13%</t>
        </is>
      </c>
      <c r="R11" s="88" t="inlineStr">
        <is>
          <t>2.26%</t>
        </is>
      </c>
      <c r="S11" s="88" t="inlineStr">
        <is>
          <t>0.26%</t>
        </is>
      </c>
      <c r="T11" s="88" t="inlineStr">
        <is>
          <t>0.09%</t>
        </is>
      </c>
      <c r="U11" s="88" t="inlineStr">
        <is>
          <t>0.89%</t>
        </is>
      </c>
    </row>
    <row r="12">
      <c r="A12" s="88" t="inlineStr">
        <is>
          <t>11</t>
        </is>
      </c>
      <c r="B12" s="91" t="n">
        <v>46122</v>
      </c>
      <c r="C12" s="89" t="n">
        <v>1206</v>
      </c>
      <c r="D12" s="89" t="n">
        <v>1061</v>
      </c>
      <c r="E12" s="89" t="n">
        <v>945</v>
      </c>
      <c r="F12" s="89" t="n">
        <v>116</v>
      </c>
      <c r="G12" s="89" t="n">
        <v>811</v>
      </c>
      <c r="H12" s="89" t="n">
        <v>32</v>
      </c>
      <c r="I12" s="89" t="n">
        <v>5</v>
      </c>
      <c r="J12" s="89" t="n">
        <v>5</v>
      </c>
      <c r="K12" s="90" t="n">
        <v>226</v>
      </c>
      <c r="L12" s="89" t="n">
        <v>87</v>
      </c>
      <c r="M12" s="88" t="inlineStr">
        <is>
          <t>67.25%</t>
        </is>
      </c>
      <c r="N12" s="88" t="inlineStr">
        <is>
          <t>3.95%</t>
        </is>
      </c>
      <c r="O12" s="88" t="inlineStr">
        <is>
          <t>0.62%</t>
        </is>
      </c>
      <c r="P12" s="88" t="inlineStr">
        <is>
          <t>15.63%</t>
        </is>
      </c>
      <c r="Q12" s="88" t="inlineStr">
        <is>
          <t>0.62%</t>
        </is>
      </c>
      <c r="R12" s="88" t="inlineStr">
        <is>
          <t>2.65%</t>
        </is>
      </c>
      <c r="S12" s="88" t="inlineStr">
        <is>
          <t>0.41%</t>
        </is>
      </c>
      <c r="T12" s="88" t="inlineStr">
        <is>
          <t>0.41%</t>
        </is>
      </c>
      <c r="U12" s="88" t="inlineStr">
        <is>
          <t>2.21%</t>
        </is>
      </c>
    </row>
    <row r="13">
      <c r="A13" s="88" t="inlineStr">
        <is>
          <t>12</t>
        </is>
      </c>
      <c r="B13" s="91" t="n">
        <v>46123</v>
      </c>
      <c r="C13" s="89" t="n">
        <v>1383</v>
      </c>
      <c r="D13" s="89" t="n">
        <v>1337</v>
      </c>
      <c r="E13" s="89" t="n">
        <v>1243</v>
      </c>
      <c r="F13" s="89" t="n">
        <v>94</v>
      </c>
      <c r="G13" s="89" t="n">
        <v>901</v>
      </c>
      <c r="H13" s="89" t="n">
        <v>42</v>
      </c>
      <c r="I13" s="89" t="n">
        <v>3</v>
      </c>
      <c r="J13" s="89" t="n">
        <v>2</v>
      </c>
      <c r="K13" s="90" t="n">
        <v>217</v>
      </c>
      <c r="L13" s="89" t="n">
        <v>90</v>
      </c>
      <c r="M13" s="88" t="inlineStr">
        <is>
          <t>65.15%</t>
        </is>
      </c>
      <c r="N13" s="88" t="inlineStr">
        <is>
          <t>4.66%</t>
        </is>
      </c>
      <c r="O13" s="88" t="inlineStr">
        <is>
          <t>0.33%</t>
        </is>
      </c>
      <c r="P13" s="88" t="inlineStr">
        <is>
          <t>4.76%</t>
        </is>
      </c>
      <c r="Q13" s="88" t="inlineStr">
        <is>
          <t>0.22%</t>
        </is>
      </c>
      <c r="R13" s="88" t="inlineStr">
        <is>
          <t>3.04%</t>
        </is>
      </c>
      <c r="S13" s="88" t="inlineStr">
        <is>
          <t>0.22%</t>
        </is>
      </c>
      <c r="T13" s="88" t="inlineStr">
        <is>
          <t>0.14%</t>
        </is>
      </c>
      <c r="U13" s="88" t="inlineStr">
        <is>
          <t>0.92%</t>
        </is>
      </c>
    </row>
    <row r="14">
      <c r="A14" s="88" t="inlineStr">
        <is>
          <t>13</t>
        </is>
      </c>
      <c r="B14" s="91" t="n">
        <v>46124</v>
      </c>
      <c r="C14" s="89" t="n">
        <v>1682</v>
      </c>
      <c r="D14" s="89" t="n">
        <v>1361</v>
      </c>
      <c r="E14" s="89" t="n">
        <v>1245</v>
      </c>
      <c r="F14" s="89" t="n">
        <v>116</v>
      </c>
      <c r="G14" s="89" t="n">
        <v>1189</v>
      </c>
      <c r="H14" s="89" t="n">
        <v>42</v>
      </c>
      <c r="I14" s="89" t="n">
        <v>3</v>
      </c>
      <c r="J14" s="89" t="n">
        <v>0</v>
      </c>
      <c r="K14" s="90" t="n">
        <v>187</v>
      </c>
      <c r="L14" s="89" t="n">
        <v>145</v>
      </c>
      <c r="M14" s="88" t="inlineStr">
        <is>
          <t>70.69%</t>
        </is>
      </c>
      <c r="N14" s="88" t="inlineStr">
        <is>
          <t>3.53%</t>
        </is>
      </c>
      <c r="O14" s="88" t="inlineStr">
        <is>
          <t>0.25%</t>
        </is>
      </c>
      <c r="P14" s="88" t="inlineStr">
        <is>
          <t>0.00%</t>
        </is>
      </c>
      <c r="Q14" s="88" t="inlineStr">
        <is>
          <t>0.00%</t>
        </is>
      </c>
      <c r="R14" s="88" t="inlineStr">
        <is>
          <t>2.50%</t>
        </is>
      </c>
      <c r="S14" s="88" t="inlineStr">
        <is>
          <t>0.18%</t>
        </is>
      </c>
      <c r="T14" s="88" t="inlineStr">
        <is>
          <t>0.00%</t>
        </is>
      </c>
      <c r="U14" s="88" t="inlineStr">
        <is>
          <t>0.00%</t>
        </is>
      </c>
    </row>
    <row r="15">
      <c r="A15" s="88" t="inlineStr">
        <is>
          <t>14</t>
        </is>
      </c>
      <c r="B15" s="91" t="n">
        <v>46125</v>
      </c>
      <c r="C15" s="89" t="n">
        <v>2225</v>
      </c>
      <c r="D15" s="89" t="n">
        <v>2585</v>
      </c>
      <c r="E15" s="89" t="n">
        <v>2154</v>
      </c>
      <c r="F15" s="89" t="n">
        <v>431</v>
      </c>
      <c r="G15" s="89" t="n">
        <v>1542</v>
      </c>
      <c r="H15" s="89" t="n">
        <v>34</v>
      </c>
      <c r="I15" s="89" t="n">
        <v>1</v>
      </c>
      <c r="J15" s="89" t="n">
        <v>0</v>
      </c>
      <c r="K15" s="90" t="n">
        <v>223</v>
      </c>
      <c r="L15" s="89" t="n">
        <v>160</v>
      </c>
      <c r="M15" s="88" t="inlineStr">
        <is>
          <t>69.30%</t>
        </is>
      </c>
      <c r="N15" s="88" t="inlineStr">
        <is>
          <t>2.20%</t>
        </is>
      </c>
      <c r="O15" s="88" t="inlineStr">
        <is>
          <t>0.06%</t>
        </is>
      </c>
      <c r="P15" s="88" t="inlineStr">
        <is>
          <t>0.00%</t>
        </is>
      </c>
      <c r="Q15" s="88" t="inlineStr">
        <is>
          <t>0.00%</t>
        </is>
      </c>
      <c r="R15" s="88" t="inlineStr">
        <is>
          <t>1.53%</t>
        </is>
      </c>
      <c r="S15" s="88" t="inlineStr">
        <is>
          <t>0.04%</t>
        </is>
      </c>
      <c r="T15" s="88" t="inlineStr">
        <is>
          <t>0.00%</t>
        </is>
      </c>
      <c r="U15" s="88" t="inlineStr">
        <is>
          <t>0.00%</t>
        </is>
      </c>
    </row>
    <row r="16">
      <c r="A16" s="88" t="inlineStr">
        <is>
          <t>15</t>
        </is>
      </c>
      <c r="B16" s="91" t="n">
        <v>46126</v>
      </c>
      <c r="C16" s="89" t="n">
        <v>1909</v>
      </c>
      <c r="D16" s="89" t="n">
        <v>1815</v>
      </c>
      <c r="E16" s="89" t="n">
        <v>1571</v>
      </c>
      <c r="F16" s="89" t="n">
        <v>244</v>
      </c>
      <c r="G16" s="89" t="n">
        <v>1288</v>
      </c>
      <c r="H16" s="89" t="n">
        <v>43</v>
      </c>
      <c r="I16" s="89" t="n">
        <v>5</v>
      </c>
      <c r="J16" s="89" t="n">
        <v>-5</v>
      </c>
      <c r="K16" s="90" t="n">
        <v>108</v>
      </c>
      <c r="L16" s="89" t="n">
        <v>147</v>
      </c>
      <c r="M16" s="88" t="inlineStr">
        <is>
          <t>67.47%</t>
        </is>
      </c>
      <c r="N16" s="88" t="inlineStr">
        <is>
          <t>3.34%</t>
        </is>
      </c>
      <c r="O16" s="88" t="inlineStr">
        <is>
          <t>0.39%</t>
        </is>
      </c>
      <c r="P16" s="88" t="inlineStr">
        <is>
          <t>-11.63%</t>
        </is>
      </c>
      <c r="Q16" s="88" t="inlineStr">
        <is>
          <t>-0.39%</t>
        </is>
      </c>
      <c r="R16" s="88" t="inlineStr">
        <is>
          <t>2.25%</t>
        </is>
      </c>
      <c r="S16" s="88" t="inlineStr">
        <is>
          <t>0.26%</t>
        </is>
      </c>
      <c r="T16" s="88" t="inlineStr">
        <is>
          <t>-0.26%</t>
        </is>
      </c>
      <c r="U16" s="88" t="inlineStr">
        <is>
          <t>-4.63%</t>
        </is>
      </c>
    </row>
    <row r="17">
      <c r="A17" s="88" t="inlineStr">
        <is>
          <t>16</t>
        </is>
      </c>
      <c r="B17" s="91" t="n">
        <v>46127</v>
      </c>
      <c r="C17" s="89" t="n">
        <v>1411</v>
      </c>
      <c r="D17" s="89" t="n">
        <v>1511</v>
      </c>
      <c r="E17" s="89" t="n">
        <v>1346</v>
      </c>
      <c r="F17" s="89" t="n">
        <v>165</v>
      </c>
      <c r="G17" s="89" t="n">
        <v>949</v>
      </c>
      <c r="H17" s="89" t="n">
        <v>29</v>
      </c>
      <c r="I17" s="89" t="n">
        <v>7</v>
      </c>
      <c r="J17" s="89" t="n">
        <v>1</v>
      </c>
      <c r="K17" s="90" t="n">
        <v>291</v>
      </c>
      <c r="L17" s="89" t="n">
        <v>77</v>
      </c>
      <c r="M17" s="88" t="inlineStr">
        <is>
          <t>67.26%</t>
        </is>
      </c>
      <c r="N17" s="88" t="inlineStr">
        <is>
          <t>3.06%</t>
        </is>
      </c>
      <c r="O17" s="88" t="inlineStr">
        <is>
          <t>0.74%</t>
        </is>
      </c>
      <c r="P17" s="88" t="inlineStr">
        <is>
          <t>3.45%</t>
        </is>
      </c>
      <c r="Q17" s="88" t="inlineStr">
        <is>
          <t>0.11%</t>
        </is>
      </c>
      <c r="R17" s="88" t="inlineStr">
        <is>
          <t>2.06%</t>
        </is>
      </c>
      <c r="S17" s="88" t="inlineStr">
        <is>
          <t>0.50%</t>
        </is>
      </c>
      <c r="T17" s="88" t="inlineStr">
        <is>
          <t>0.07%</t>
        </is>
      </c>
      <c r="U17" s="88" t="inlineStr">
        <is>
          <t>0.34%</t>
        </is>
      </c>
    </row>
    <row r="18">
      <c r="A18" s="88" t="inlineStr">
        <is>
          <t>17</t>
        </is>
      </c>
      <c r="B18" s="91" t="n">
        <v>46128</v>
      </c>
      <c r="C18" s="89" t="n">
        <v>1280</v>
      </c>
      <c r="D18" s="89" t="n">
        <v>1239</v>
      </c>
      <c r="E18" s="89" t="n">
        <v>1135</v>
      </c>
      <c r="F18" s="89" t="n">
        <v>104</v>
      </c>
      <c r="G18" s="89" t="n">
        <v>969</v>
      </c>
      <c r="H18" s="89" t="n">
        <v>43</v>
      </c>
      <c r="I18" s="89" t="n">
        <v>8</v>
      </c>
      <c r="J18" s="89" t="n">
        <v>-12</v>
      </c>
      <c r="K18" s="90" t="n">
        <v>215</v>
      </c>
      <c r="L18" s="89" t="n">
        <v>79</v>
      </c>
      <c r="M18" s="88" t="inlineStr">
        <is>
          <t>75.70%</t>
        </is>
      </c>
      <c r="N18" s="88" t="inlineStr">
        <is>
          <t>4.44%</t>
        </is>
      </c>
      <c r="O18" s="88" t="inlineStr">
        <is>
          <t>0.83%</t>
        </is>
      </c>
      <c r="P18" s="88" t="inlineStr">
        <is>
          <t>-27.91%</t>
        </is>
      </c>
      <c r="Q18" s="88" t="inlineStr">
        <is>
          <t>-1.24%</t>
        </is>
      </c>
      <c r="R18" s="88" t="inlineStr">
        <is>
          <t>3.36%</t>
        </is>
      </c>
      <c r="S18" s="88" t="inlineStr">
        <is>
          <t>0.63%</t>
        </is>
      </c>
      <c r="T18" s="88" t="inlineStr">
        <is>
          <t>-0.94%</t>
        </is>
      </c>
      <c r="U18" s="88" t="inlineStr">
        <is>
          <t>-5.58%</t>
        </is>
      </c>
    </row>
    <row r="19">
      <c r="A19" s="88" t="inlineStr">
        <is>
          <t>18</t>
        </is>
      </c>
      <c r="B19" s="91" t="n">
        <v>46129</v>
      </c>
      <c r="C19" s="89" t="n">
        <v>1198</v>
      </c>
      <c r="D19" s="89" t="n">
        <v>1238</v>
      </c>
      <c r="E19" s="89" t="n">
        <v>1147</v>
      </c>
      <c r="F19" s="89" t="n">
        <v>91</v>
      </c>
      <c r="G19" s="89" t="n">
        <v>853</v>
      </c>
      <c r="H19" s="89" t="n">
        <v>42</v>
      </c>
      <c r="I19" s="89" t="n">
        <v>7</v>
      </c>
      <c r="J19" s="89" t="n">
        <v>-9</v>
      </c>
      <c r="K19" s="90" t="n">
        <v>181</v>
      </c>
      <c r="L19" s="89" t="n">
        <v>85</v>
      </c>
      <c r="M19" s="88" t="inlineStr">
        <is>
          <t>71.20%</t>
        </is>
      </c>
      <c r="N19" s="88" t="inlineStr">
        <is>
          <t>4.92%</t>
        </is>
      </c>
      <c r="O19" s="88" t="inlineStr">
        <is>
          <t>0.82%</t>
        </is>
      </c>
      <c r="P19" s="88" t="inlineStr">
        <is>
          <t>-21.43%</t>
        </is>
      </c>
      <c r="Q19" s="88" t="inlineStr">
        <is>
          <t>-1.06%</t>
        </is>
      </c>
      <c r="R19" s="88" t="inlineStr">
        <is>
          <t>3.51%</t>
        </is>
      </c>
      <c r="S19" s="88" t="inlineStr">
        <is>
          <t>0.58%</t>
        </is>
      </c>
      <c r="T19" s="88" t="inlineStr">
        <is>
          <t>-0.75%</t>
        </is>
      </c>
      <c r="U19" s="88" t="inlineStr">
        <is>
          <t>-4.97%</t>
        </is>
      </c>
    </row>
    <row r="20">
      <c r="A20" s="88" t="inlineStr">
        <is>
          <t>19</t>
        </is>
      </c>
      <c r="B20" s="91" t="n">
        <v>46130</v>
      </c>
      <c r="C20" s="89" t="n">
        <v>1687</v>
      </c>
      <c r="D20" s="89" t="n">
        <v>1407</v>
      </c>
      <c r="E20" s="89" t="n">
        <v>1303</v>
      </c>
      <c r="F20" s="89" t="n">
        <v>104</v>
      </c>
      <c r="G20" s="89" t="n">
        <v>1125</v>
      </c>
      <c r="H20" s="89" t="n">
        <v>64</v>
      </c>
      <c r="I20" s="89" t="n">
        <v>27</v>
      </c>
      <c r="J20" s="89" t="n">
        <v>7</v>
      </c>
      <c r="K20" s="90" t="n">
        <v>439</v>
      </c>
      <c r="L20" s="89" t="n">
        <v>96</v>
      </c>
      <c r="M20" s="88" t="inlineStr">
        <is>
          <t>66.69%</t>
        </is>
      </c>
      <c r="N20" s="88" t="inlineStr">
        <is>
          <t>5.69%</t>
        </is>
      </c>
      <c r="O20" s="88" t="inlineStr">
        <is>
          <t>2.40%</t>
        </is>
      </c>
      <c r="P20" s="88" t="inlineStr">
        <is>
          <t>10.94%</t>
        </is>
      </c>
      <c r="Q20" s="88" t="inlineStr">
        <is>
          <t>0.62%</t>
        </is>
      </c>
      <c r="R20" s="88" t="inlineStr">
        <is>
          <t>3.79%</t>
        </is>
      </c>
      <c r="S20" s="88" t="inlineStr">
        <is>
          <t>1.60%</t>
        </is>
      </c>
      <c r="T20" s="88" t="inlineStr">
        <is>
          <t>0.41%</t>
        </is>
      </c>
      <c r="U20" s="88" t="inlineStr">
        <is>
          <t>1.59%</t>
        </is>
      </c>
    </row>
    <row r="21">
      <c r="A21" s="88" t="inlineStr">
        <is>
          <t>20</t>
        </is>
      </c>
      <c r="B21" s="91" t="n">
        <v>46131</v>
      </c>
      <c r="C21" s="89" t="n">
        <v>1653</v>
      </c>
      <c r="D21" s="89" t="n">
        <v>1761</v>
      </c>
      <c r="E21" s="89" t="n">
        <v>1597</v>
      </c>
      <c r="F21" s="89" t="n">
        <v>164</v>
      </c>
      <c r="G21" s="89" t="n">
        <v>1201</v>
      </c>
      <c r="H21" s="89" t="n">
        <v>74</v>
      </c>
      <c r="I21" s="89" t="n">
        <v>12</v>
      </c>
      <c r="J21" s="89" t="n">
        <v>8</v>
      </c>
      <c r="K21" s="90" t="n">
        <v>311</v>
      </c>
      <c r="L21" s="89" t="n">
        <v>104</v>
      </c>
      <c r="M21" s="88" t="inlineStr">
        <is>
          <t>72.66%</t>
        </is>
      </c>
      <c r="N21" s="88" t="inlineStr">
        <is>
          <t>6.16%</t>
        </is>
      </c>
      <c r="O21" s="88" t="inlineStr">
        <is>
          <t>1.00%</t>
        </is>
      </c>
      <c r="P21" s="88" t="inlineStr">
        <is>
          <t>10.81%</t>
        </is>
      </c>
      <c r="Q21" s="88" t="inlineStr">
        <is>
          <t>0.67%</t>
        </is>
      </c>
      <c r="R21" s="88" t="inlineStr">
        <is>
          <t>4.48%</t>
        </is>
      </c>
      <c r="S21" s="88" t="inlineStr">
        <is>
          <t>0.73%</t>
        </is>
      </c>
      <c r="T21" s="88" t="inlineStr">
        <is>
          <t>0.48%</t>
        </is>
      </c>
      <c r="U21" s="88" t="inlineStr">
        <is>
          <t>2.57%</t>
        </is>
      </c>
    </row>
    <row r="22">
      <c r="A22" s="88" t="inlineStr">
        <is>
          <t>21</t>
        </is>
      </c>
      <c r="B22" s="91" t="n">
        <v>46132</v>
      </c>
      <c r="C22" s="89" t="n">
        <v>1397</v>
      </c>
      <c r="D22" s="89" t="n">
        <v>1499</v>
      </c>
      <c r="E22" s="89" t="n">
        <v>1377</v>
      </c>
      <c r="F22" s="89" t="n">
        <v>122</v>
      </c>
      <c r="G22" s="89" t="n">
        <v>1045</v>
      </c>
      <c r="H22" s="89" t="n">
        <v>57</v>
      </c>
      <c r="I22" s="89" t="n">
        <v>22</v>
      </c>
      <c r="J22" s="89" t="n">
        <v>0</v>
      </c>
      <c r="K22" s="90" t="n">
        <v>475</v>
      </c>
      <c r="L22" s="89" t="n">
        <v>87</v>
      </c>
      <c r="M22" s="88" t="inlineStr">
        <is>
          <t>74.80%</t>
        </is>
      </c>
      <c r="N22" s="88" t="inlineStr">
        <is>
          <t>5.45%</t>
        </is>
      </c>
      <c r="O22" s="88" t="inlineStr">
        <is>
          <t>2.11%</t>
        </is>
      </c>
      <c r="P22" s="88" t="inlineStr">
        <is>
          <t>0.00%</t>
        </is>
      </c>
      <c r="Q22" s="88" t="inlineStr">
        <is>
          <t>0.00%</t>
        </is>
      </c>
      <c r="R22" s="88" t="inlineStr">
        <is>
          <t>4.08%</t>
        </is>
      </c>
      <c r="S22" s="88" t="inlineStr">
        <is>
          <t>1.57%</t>
        </is>
      </c>
      <c r="T22" s="88" t="inlineStr">
        <is>
          <t>0.00%</t>
        </is>
      </c>
      <c r="U22" s="88" t="inlineStr">
        <is>
          <t>0.00%</t>
        </is>
      </c>
    </row>
    <row r="23">
      <c r="A23" s="88" t="inlineStr">
        <is>
          <t>22</t>
        </is>
      </c>
      <c r="B23" s="91" t="n">
        <v>46133</v>
      </c>
      <c r="C23" s="89" t="n">
        <v>1231</v>
      </c>
      <c r="D23" s="89" t="n">
        <v>1359</v>
      </c>
      <c r="E23" s="89" t="n">
        <v>1252</v>
      </c>
      <c r="F23" s="89" t="n">
        <v>107</v>
      </c>
      <c r="G23" s="89" t="n">
        <v>963</v>
      </c>
      <c r="H23" s="89" t="n">
        <v>59</v>
      </c>
      <c r="I23" s="89" t="n">
        <v>37</v>
      </c>
      <c r="J23" s="89" t="n">
        <v>4</v>
      </c>
      <c r="K23" s="90" t="n">
        <v>437</v>
      </c>
      <c r="L23" s="89" t="n">
        <v>56</v>
      </c>
      <c r="M23" s="88" t="inlineStr">
        <is>
          <t>78.23%</t>
        </is>
      </c>
      <c r="N23" s="88" t="inlineStr">
        <is>
          <t>6.13%</t>
        </is>
      </c>
      <c r="O23" s="88" t="inlineStr">
        <is>
          <t>3.84%</t>
        </is>
      </c>
      <c r="P23" s="88" t="inlineStr">
        <is>
          <t>6.78%</t>
        </is>
      </c>
      <c r="Q23" s="88" t="inlineStr">
        <is>
          <t>0.42%</t>
        </is>
      </c>
      <c r="R23" s="88" t="inlineStr">
        <is>
          <t>4.79%</t>
        </is>
      </c>
      <c r="S23" s="88" t="inlineStr">
        <is>
          <t>3.01%</t>
        </is>
      </c>
      <c r="T23" s="88" t="inlineStr">
        <is>
          <t>0.32%</t>
        </is>
      </c>
      <c r="U23" s="88" t="inlineStr">
        <is>
          <t>0.92%</t>
        </is>
      </c>
    </row>
    <row r="24">
      <c r="A24" s="88" t="inlineStr">
        <is>
          <t>23</t>
        </is>
      </c>
      <c r="B24" s="91" t="n">
        <v>46134</v>
      </c>
      <c r="C24" s="89" t="n">
        <v>1143</v>
      </c>
      <c r="D24" s="89" t="n">
        <v>1207</v>
      </c>
      <c r="E24" s="89" t="n">
        <v>1072</v>
      </c>
      <c r="F24" s="89" t="n">
        <v>135</v>
      </c>
      <c r="G24" s="89" t="n">
        <v>846</v>
      </c>
      <c r="H24" s="89" t="n">
        <v>66</v>
      </c>
      <c r="I24" s="89" t="n">
        <v>42</v>
      </c>
      <c r="J24" s="89" t="n">
        <v>21</v>
      </c>
      <c r="K24" s="90" t="n">
        <v>660</v>
      </c>
      <c r="L24" s="89" t="n">
        <v>80</v>
      </c>
      <c r="M24" s="88" t="inlineStr">
        <is>
          <t>74.02%</t>
        </is>
      </c>
      <c r="N24" s="88" t="inlineStr">
        <is>
          <t>7.80%</t>
        </is>
      </c>
      <c r="O24" s="88" t="inlineStr">
        <is>
          <t>4.96%</t>
        </is>
      </c>
      <c r="P24" s="88" t="inlineStr">
        <is>
          <t>31.82%</t>
        </is>
      </c>
      <c r="Q24" s="88" t="inlineStr">
        <is>
          <t>2.48%</t>
        </is>
      </c>
      <c r="R24" s="88" t="inlineStr">
        <is>
          <t>5.77%</t>
        </is>
      </c>
      <c r="S24" s="88" t="inlineStr">
        <is>
          <t>3.67%</t>
        </is>
      </c>
      <c r="T24" s="88" t="inlineStr">
        <is>
          <t>1.84%</t>
        </is>
      </c>
      <c r="U24" s="88" t="inlineStr">
        <is>
          <t>3.18%</t>
        </is>
      </c>
    </row>
    <row r="25">
      <c r="A25" s="88" t="inlineStr">
        <is>
          <t>24</t>
        </is>
      </c>
      <c r="B25" s="91" t="n">
        <v>46135</v>
      </c>
      <c r="C25" s="89" t="n">
        <v>1232</v>
      </c>
      <c r="D25" s="89" t="n">
        <v>1277</v>
      </c>
      <c r="E25" s="89" t="n">
        <v>1167</v>
      </c>
      <c r="F25" s="89" t="n">
        <v>110</v>
      </c>
      <c r="G25" s="89" t="n">
        <v>951</v>
      </c>
      <c r="H25" s="89" t="n">
        <v>40</v>
      </c>
      <c r="I25" s="89" t="n">
        <v>13</v>
      </c>
      <c r="J25" s="89" t="n">
        <v>8</v>
      </c>
      <c r="K25" s="90" t="n">
        <v>569</v>
      </c>
      <c r="L25" s="89" t="n">
        <v>57</v>
      </c>
      <c r="M25" s="88" t="inlineStr">
        <is>
          <t>77.19%</t>
        </is>
      </c>
      <c r="N25" s="88" t="inlineStr">
        <is>
          <t>4.21%</t>
        </is>
      </c>
      <c r="O25" s="88" t="inlineStr">
        <is>
          <t>1.37%</t>
        </is>
      </c>
      <c r="P25" s="88" t="inlineStr">
        <is>
          <t>20.00%</t>
        </is>
      </c>
      <c r="Q25" s="88" t="inlineStr">
        <is>
          <t>0.84%</t>
        </is>
      </c>
      <c r="R25" s="88" t="inlineStr">
        <is>
          <t>3.25%</t>
        </is>
      </c>
      <c r="S25" s="88" t="inlineStr">
        <is>
          <t>1.06%</t>
        </is>
      </c>
      <c r="T25" s="88" t="inlineStr">
        <is>
          <t>0.65%</t>
        </is>
      </c>
      <c r="U25" s="88" t="inlineStr">
        <is>
          <t>1.41%</t>
        </is>
      </c>
    </row>
    <row r="26">
      <c r="A26" s="88" t="inlineStr">
        <is>
          <t>25</t>
        </is>
      </c>
      <c r="B26" s="91" t="n">
        <v>46136</v>
      </c>
      <c r="C26" s="89" t="n">
        <v>1391</v>
      </c>
      <c r="D26" s="89" t="n">
        <v>1162</v>
      </c>
      <c r="E26" s="89" t="n">
        <v>1039</v>
      </c>
      <c r="F26" s="89" t="n">
        <v>123</v>
      </c>
      <c r="G26" s="89" t="n">
        <v>1050</v>
      </c>
      <c r="H26" s="89" t="n">
        <v>59</v>
      </c>
      <c r="I26" s="89" t="n">
        <v>21</v>
      </c>
      <c r="J26" s="89" t="n">
        <v>12</v>
      </c>
      <c r="K26" s="90" t="n">
        <v>646</v>
      </c>
      <c r="L26" s="89" t="n">
        <v>71</v>
      </c>
      <c r="M26" s="88" t="inlineStr">
        <is>
          <t>75.49%</t>
        </is>
      </c>
      <c r="N26" s="88" t="inlineStr">
        <is>
          <t>5.62%</t>
        </is>
      </c>
      <c r="O26" s="88" t="inlineStr">
        <is>
          <t>2.00%</t>
        </is>
      </c>
      <c r="P26" s="88" t="inlineStr">
        <is>
          <t>20.34%</t>
        </is>
      </c>
      <c r="Q26" s="88" t="inlineStr">
        <is>
          <t>1.14%</t>
        </is>
      </c>
      <c r="R26" s="88" t="inlineStr">
        <is>
          <t>4.24%</t>
        </is>
      </c>
      <c r="S26" s="88" t="inlineStr">
        <is>
          <t>1.51%</t>
        </is>
      </c>
      <c r="T26" s="88" t="inlineStr">
        <is>
          <t>0.86%</t>
        </is>
      </c>
      <c r="U26" s="88" t="inlineStr">
        <is>
          <t>1.86%</t>
        </is>
      </c>
    </row>
    <row r="27">
      <c r="A27" s="88" t="inlineStr">
        <is>
          <t>26</t>
        </is>
      </c>
      <c r="B27" s="91" t="n">
        <v>46137</v>
      </c>
      <c r="C27" s="89" t="n">
        <v>1588</v>
      </c>
      <c r="D27" s="89" t="n">
        <v>1527</v>
      </c>
      <c r="E27" s="89" t="n">
        <v>1387</v>
      </c>
      <c r="F27" s="89" t="n">
        <v>140</v>
      </c>
      <c r="G27" s="89" t="n">
        <v>1149</v>
      </c>
      <c r="H27" s="89" t="n">
        <v>49</v>
      </c>
      <c r="I27" s="89" t="n">
        <v>13</v>
      </c>
      <c r="J27" s="89" t="n">
        <v>11</v>
      </c>
      <c r="K27" s="90" t="n">
        <v>682</v>
      </c>
      <c r="L27" s="89" t="n">
        <v>72</v>
      </c>
      <c r="M27" s="88" t="inlineStr">
        <is>
          <t>72.36%</t>
        </is>
      </c>
      <c r="N27" s="88" t="inlineStr">
        <is>
          <t>4.26%</t>
        </is>
      </c>
      <c r="O27" s="88" t="inlineStr">
        <is>
          <t>1.13%</t>
        </is>
      </c>
      <c r="P27" s="88" t="inlineStr">
        <is>
          <t>22.45%</t>
        </is>
      </c>
      <c r="Q27" s="88" t="inlineStr">
        <is>
          <t>0.96%</t>
        </is>
      </c>
      <c r="R27" s="88" t="inlineStr">
        <is>
          <t>3.09%</t>
        </is>
      </c>
      <c r="S27" s="88" t="inlineStr">
        <is>
          <t>0.82%</t>
        </is>
      </c>
      <c r="T27" s="88" t="inlineStr">
        <is>
          <t>0.69%</t>
        </is>
      </c>
      <c r="U27" s="88" t="inlineStr">
        <is>
          <t>1.61%</t>
        </is>
      </c>
    </row>
    <row r="28">
      <c r="A28" s="88" t="inlineStr">
        <is>
          <t>27</t>
        </is>
      </c>
      <c r="B28" s="91" t="n">
        <v>46138</v>
      </c>
      <c r="C28" s="89" t="n">
        <v>1682</v>
      </c>
      <c r="D28" s="89" t="n">
        <v>1682</v>
      </c>
      <c r="E28" s="89" t="n">
        <v>1554</v>
      </c>
      <c r="F28" s="89" t="n">
        <v>128</v>
      </c>
      <c r="G28" s="89" t="n">
        <v>1347</v>
      </c>
      <c r="H28" s="89" t="n">
        <v>61</v>
      </c>
      <c r="I28" s="89" t="n">
        <v>19</v>
      </c>
      <c r="J28" s="89" t="n">
        <v>9</v>
      </c>
      <c r="K28" s="90" t="n">
        <v>396</v>
      </c>
      <c r="L28" s="89" t="n">
        <v>77</v>
      </c>
      <c r="M28" s="88" t="inlineStr">
        <is>
          <t>80.08%</t>
        </is>
      </c>
      <c r="N28" s="88" t="inlineStr">
        <is>
          <t>4.53%</t>
        </is>
      </c>
      <c r="O28" s="88" t="inlineStr">
        <is>
          <t>1.41%</t>
        </is>
      </c>
      <c r="P28" s="88" t="inlineStr">
        <is>
          <t>14.75%</t>
        </is>
      </c>
      <c r="Q28" s="88" t="inlineStr">
        <is>
          <t>0.67%</t>
        </is>
      </c>
      <c r="R28" s="88" t="inlineStr">
        <is>
          <t>3.63%</t>
        </is>
      </c>
      <c r="S28" s="88" t="inlineStr">
        <is>
          <t>1.13%</t>
        </is>
      </c>
      <c r="T28" s="88" t="inlineStr">
        <is>
          <t>0.54%</t>
        </is>
      </c>
      <c r="U28" s="88" t="inlineStr">
        <is>
          <t>2.27%</t>
        </is>
      </c>
    </row>
    <row r="29">
      <c r="A29" s="88" t="inlineStr">
        <is>
          <t>28</t>
        </is>
      </c>
      <c r="B29" s="91" t="n">
        <v>46139</v>
      </c>
      <c r="C29" s="89" t="n">
        <v>2206</v>
      </c>
      <c r="D29" s="89" t="n">
        <v>2021</v>
      </c>
      <c r="E29" s="89" t="n">
        <v>1740</v>
      </c>
      <c r="F29" s="89" t="n">
        <v>281</v>
      </c>
      <c r="G29" s="89" t="n">
        <v>1717</v>
      </c>
      <c r="H29" s="89" t="n">
        <v>48</v>
      </c>
      <c r="I29" s="89" t="n">
        <v>34</v>
      </c>
      <c r="J29" s="89" t="n">
        <v>9</v>
      </c>
      <c r="K29" s="90" t="n">
        <v>588</v>
      </c>
      <c r="L29" s="89" t="n">
        <v>90</v>
      </c>
      <c r="M29" s="88" t="inlineStr">
        <is>
          <t>77.83%</t>
        </is>
      </c>
      <c r="N29" s="88" t="inlineStr">
        <is>
          <t>2.80%</t>
        </is>
      </c>
      <c r="O29" s="88" t="inlineStr">
        <is>
          <t>1.98%</t>
        </is>
      </c>
      <c r="P29" s="88" t="inlineStr">
        <is>
          <t>18.75%</t>
        </is>
      </c>
      <c r="Q29" s="88" t="inlineStr">
        <is>
          <t>0.52%</t>
        </is>
      </c>
      <c r="R29" s="88" t="inlineStr">
        <is>
          <t>2.18%</t>
        </is>
      </c>
      <c r="S29" s="88" t="inlineStr">
        <is>
          <t>1.54%</t>
        </is>
      </c>
      <c r="T29" s="88" t="inlineStr">
        <is>
          <t>0.41%</t>
        </is>
      </c>
      <c r="U29" s="88" t="inlineStr">
        <is>
          <t>1.53%</t>
        </is>
      </c>
    </row>
    <row r="30">
      <c r="A30" s="88" t="inlineStr">
        <is>
          <t>29</t>
        </is>
      </c>
      <c r="B30" s="91" t="n">
        <v>46140</v>
      </c>
      <c r="C30" s="89" t="n">
        <v>1808</v>
      </c>
      <c r="D30" s="89" t="n">
        <v>1946</v>
      </c>
      <c r="E30" s="89" t="n">
        <v>1666</v>
      </c>
      <c r="F30" s="89" t="n">
        <v>280</v>
      </c>
      <c r="G30" s="89" t="n">
        <v>1481</v>
      </c>
      <c r="H30" s="89" t="n">
        <v>72</v>
      </c>
      <c r="I30" s="89" t="n">
        <v>36</v>
      </c>
      <c r="J30" s="89" t="n">
        <v>5</v>
      </c>
      <c r="K30" s="90" t="n">
        <v>1152</v>
      </c>
      <c r="L30" s="89" t="n">
        <v>39</v>
      </c>
      <c r="M30" s="88" t="inlineStr">
        <is>
          <t>81.91%</t>
        </is>
      </c>
      <c r="N30" s="88" t="inlineStr">
        <is>
          <t>4.86%</t>
        </is>
      </c>
      <c r="O30" s="88" t="inlineStr">
        <is>
          <t>2.43%</t>
        </is>
      </c>
      <c r="P30" s="88" t="inlineStr">
        <is>
          <t>6.94%</t>
        </is>
      </c>
      <c r="Q30" s="88" t="inlineStr">
        <is>
          <t>0.34%</t>
        </is>
      </c>
      <c r="R30" s="88" t="inlineStr">
        <is>
          <t>3.98%</t>
        </is>
      </c>
      <c r="S30" s="88" t="inlineStr">
        <is>
          <t>1.99%</t>
        </is>
      </c>
      <c r="T30" s="88" t="inlineStr">
        <is>
          <t>0.28%</t>
        </is>
      </c>
      <c r="U30" s="88" t="inlineStr">
        <is>
          <t>0.43%</t>
        </is>
      </c>
    </row>
    <row r="31">
      <c r="A31" s="88" t="inlineStr">
        <is>
          <t>30</t>
        </is>
      </c>
      <c r="B31" s="91" t="n">
        <v>46141</v>
      </c>
      <c r="C31" s="89" t="n">
        <v>1862</v>
      </c>
      <c r="D31" s="89" t="n">
        <v>1817</v>
      </c>
      <c r="E31" s="89" t="n">
        <v>1601</v>
      </c>
      <c r="F31" s="89" t="n">
        <v>216</v>
      </c>
      <c r="G31" s="89" t="n">
        <v>1540</v>
      </c>
      <c r="H31" s="89" t="n">
        <v>77</v>
      </c>
      <c r="I31" s="89" t="n">
        <v>43</v>
      </c>
      <c r="J31" s="89" t="n">
        <v>49</v>
      </c>
      <c r="K31" s="90" t="n">
        <v>3005</v>
      </c>
      <c r="L31" s="89" t="n">
        <v>42</v>
      </c>
      <c r="M31" s="88" t="inlineStr">
        <is>
          <t>82.71%</t>
        </is>
      </c>
      <c r="N31" s="88" t="inlineStr">
        <is>
          <t>5.00%</t>
        </is>
      </c>
      <c r="O31" s="88" t="inlineStr">
        <is>
          <t>2.79%</t>
        </is>
      </c>
      <c r="P31" s="88" t="inlineStr">
        <is>
          <t>63.64%</t>
        </is>
      </c>
      <c r="Q31" s="88" t="inlineStr">
        <is>
          <t>3.18%</t>
        </is>
      </c>
      <c r="R31" s="88" t="inlineStr">
        <is>
          <t>4.14%</t>
        </is>
      </c>
      <c r="S31" s="88" t="inlineStr">
        <is>
          <t>2.31%</t>
        </is>
      </c>
      <c r="T31" s="88" t="inlineStr">
        <is>
          <t>2.63%</t>
        </is>
      </c>
      <c r="U31" s="88" t="inlineStr">
        <is>
          <t>1.63%</t>
        </is>
      </c>
    </row>
    <row r="32">
      <c r="A32" s="88" t="inlineStr">
        <is>
          <t>31</t>
        </is>
      </c>
      <c r="B32" s="91" t="n">
        <v>46142</v>
      </c>
      <c r="C32" s="89" t="n">
        <v>1811</v>
      </c>
      <c r="D32" s="89" t="n">
        <v>1764</v>
      </c>
      <c r="E32" s="89" t="n">
        <v>1515</v>
      </c>
      <c r="F32" s="89" t="n">
        <v>249</v>
      </c>
      <c r="G32" s="89" t="n">
        <v>1508</v>
      </c>
      <c r="H32" s="89" t="n">
        <v>118</v>
      </c>
      <c r="I32" s="89" t="n">
        <v>110</v>
      </c>
      <c r="J32" s="89" t="n">
        <v>104</v>
      </c>
      <c r="K32" s="90" t="n">
        <v>7038</v>
      </c>
      <c r="L32" s="89" t="n">
        <v>39</v>
      </c>
      <c r="M32" s="88" t="inlineStr">
        <is>
          <t>83.27%</t>
        </is>
      </c>
      <c r="N32" s="88" t="inlineStr">
        <is>
          <t>7.82%</t>
        </is>
      </c>
      <c r="O32" s="88" t="inlineStr">
        <is>
          <t>7.29%</t>
        </is>
      </c>
      <c r="P32" s="88" t="inlineStr">
        <is>
          <t>88.14%</t>
        </is>
      </c>
      <c r="Q32" s="88" t="inlineStr">
        <is>
          <t>6.90%</t>
        </is>
      </c>
      <c r="R32" s="88" t="inlineStr">
        <is>
          <t>6.52%</t>
        </is>
      </c>
      <c r="S32" s="88" t="inlineStr">
        <is>
          <t>6.07%</t>
        </is>
      </c>
      <c r="T32" s="88" t="inlineStr">
        <is>
          <t>5.74%</t>
        </is>
      </c>
      <c r="U32" s="88" t="inlineStr">
        <is>
          <t>1.48%</t>
        </is>
      </c>
    </row>
    <row r="33">
      <c r="A33" s="88" t="inlineStr">
        <is>
          <t>32</t>
        </is>
      </c>
      <c r="B33" s="91" t="n">
        <v>46143</v>
      </c>
      <c r="C33" s="89" t="n">
        <v>2578</v>
      </c>
      <c r="D33" s="89" t="n">
        <v>1909</v>
      </c>
      <c r="E33" s="89" t="n">
        <v>1752</v>
      </c>
      <c r="F33" s="89" t="n">
        <v>157</v>
      </c>
      <c r="G33" s="89" t="n">
        <v>1981</v>
      </c>
      <c r="H33" s="89" t="n">
        <v>81</v>
      </c>
      <c r="I33" s="89" t="n">
        <v>15</v>
      </c>
      <c r="J33" s="89" t="n">
        <v>0</v>
      </c>
      <c r="K33" s="90" t="n">
        <v>308</v>
      </c>
      <c r="L33" s="89" t="n">
        <v>105</v>
      </c>
      <c r="M33" s="88" t="inlineStr">
        <is>
          <t>76.84%</t>
        </is>
      </c>
      <c r="N33" s="88" t="inlineStr">
        <is>
          <t>4.09%</t>
        </is>
      </c>
      <c r="O33" s="88" t="inlineStr">
        <is>
          <t>0.76%</t>
        </is>
      </c>
      <c r="P33" s="88" t="inlineStr">
        <is>
          <t>0.00%</t>
        </is>
      </c>
      <c r="Q33" s="88" t="inlineStr">
        <is>
          <t>0.00%</t>
        </is>
      </c>
      <c r="R33" s="88" t="inlineStr">
        <is>
          <t>3.14%</t>
        </is>
      </c>
      <c r="S33" s="88" t="inlineStr">
        <is>
          <t>0.58%</t>
        </is>
      </c>
      <c r="T33" s="88" t="inlineStr">
        <is>
          <t>0.00%</t>
        </is>
      </c>
      <c r="U33" s="88" t="inlineStr">
        <is>
          <t>0.00%</t>
        </is>
      </c>
    </row>
    <row r="34">
      <c r="A34" s="88" t="inlineStr">
        <is>
          <t>33</t>
        </is>
      </c>
      <c r="B34" s="91" t="n">
        <v>46144</v>
      </c>
      <c r="C34" s="89" t="n">
        <v>2706</v>
      </c>
      <c r="D34" s="89" t="n">
        <v>2681</v>
      </c>
      <c r="E34" s="89" t="n">
        <v>2515</v>
      </c>
      <c r="F34" s="89" t="n">
        <v>166</v>
      </c>
      <c r="G34" s="89" t="n">
        <v>2124</v>
      </c>
      <c r="H34" s="89" t="n">
        <v>84</v>
      </c>
      <c r="I34" s="89" t="n">
        <v>15</v>
      </c>
      <c r="J34" s="89" t="n">
        <v>6</v>
      </c>
      <c r="K34" s="90" t="n">
        <v>368</v>
      </c>
      <c r="L34" s="89" t="n">
        <v>91</v>
      </c>
      <c r="M34" s="88" t="inlineStr">
        <is>
          <t>78.49%</t>
        </is>
      </c>
      <c r="N34" s="88" t="inlineStr">
        <is>
          <t>3.95%</t>
        </is>
      </c>
      <c r="O34" s="88" t="inlineStr">
        <is>
          <t>0.71%</t>
        </is>
      </c>
      <c r="P34" s="88" t="inlineStr">
        <is>
          <t>7.14%</t>
        </is>
      </c>
      <c r="Q34" s="88" t="inlineStr">
        <is>
          <t>0.28%</t>
        </is>
      </c>
      <c r="R34" s="88" t="inlineStr">
        <is>
          <t>3.10%</t>
        </is>
      </c>
      <c r="S34" s="88" t="inlineStr">
        <is>
          <t>0.55%</t>
        </is>
      </c>
      <c r="T34" s="88" t="inlineStr">
        <is>
          <t>0.22%</t>
        </is>
      </c>
      <c r="U34" s="88" t="inlineStr">
        <is>
          <t>1.63%</t>
        </is>
      </c>
    </row>
    <row r="35">
      <c r="A35" s="88" t="inlineStr">
        <is>
          <t>34</t>
        </is>
      </c>
      <c r="B35" s="91" t="n">
        <v>46145</v>
      </c>
      <c r="C35" s="89" t="n">
        <v>2610</v>
      </c>
      <c r="D35" s="89" t="n">
        <v>2698</v>
      </c>
      <c r="E35" s="89" t="n">
        <v>2521</v>
      </c>
      <c r="F35" s="89" t="n">
        <v>177</v>
      </c>
      <c r="G35" s="89" t="n">
        <v>1961</v>
      </c>
      <c r="H35" s="89" t="n">
        <v>108</v>
      </c>
      <c r="I35" s="89" t="n">
        <v>61</v>
      </c>
      <c r="J35" s="89" t="n">
        <v>3</v>
      </c>
      <c r="K35" s="90" t="n">
        <v>321</v>
      </c>
      <c r="L35" s="89" t="n">
        <v>90</v>
      </c>
      <c r="M35" s="88" t="inlineStr">
        <is>
          <t>75.13%</t>
        </is>
      </c>
      <c r="N35" s="88" t="inlineStr">
        <is>
          <t>5.51%</t>
        </is>
      </c>
      <c r="O35" s="88" t="inlineStr">
        <is>
          <t>3.11%</t>
        </is>
      </c>
      <c r="P35" s="88" t="inlineStr">
        <is>
          <t>2.78%</t>
        </is>
      </c>
      <c r="Q35" s="88" t="inlineStr">
        <is>
          <t>0.15%</t>
        </is>
      </c>
      <c r="R35" s="88" t="inlineStr">
        <is>
          <t>4.14%</t>
        </is>
      </c>
      <c r="S35" s="88" t="inlineStr">
        <is>
          <t>2.34%</t>
        </is>
      </c>
      <c r="T35" s="88" t="inlineStr">
        <is>
          <t>0.11%</t>
        </is>
      </c>
      <c r="U35" s="88" t="inlineStr">
        <is>
          <t>0.93%</t>
        </is>
      </c>
    </row>
    <row r="36">
      <c r="A36" s="88" t="inlineStr">
        <is>
          <t>35</t>
        </is>
      </c>
      <c r="B36" s="91" t="n">
        <v>46146</v>
      </c>
      <c r="C36" s="89" t="n">
        <v>2522</v>
      </c>
      <c r="D36" s="89" t="n">
        <v>2320</v>
      </c>
      <c r="E36" s="89" t="n">
        <v>2161</v>
      </c>
      <c r="F36" s="89" t="n">
        <v>159</v>
      </c>
      <c r="G36" s="89" t="n">
        <v>2056</v>
      </c>
      <c r="H36" s="89" t="n">
        <v>103</v>
      </c>
      <c r="I36" s="89" t="n">
        <v>57</v>
      </c>
      <c r="J36" s="89" t="n">
        <v>4</v>
      </c>
      <c r="K36" s="90" t="n">
        <v>405</v>
      </c>
      <c r="L36" s="89" t="n">
        <v>95</v>
      </c>
      <c r="M36" s="88" t="inlineStr">
        <is>
          <t>81.52%</t>
        </is>
      </c>
      <c r="N36" s="88" t="inlineStr">
        <is>
          <t>5.01%</t>
        </is>
      </c>
      <c r="O36" s="88" t="inlineStr">
        <is>
          <t>2.77%</t>
        </is>
      </c>
      <c r="P36" s="88" t="inlineStr">
        <is>
          <t>3.88%</t>
        </is>
      </c>
      <c r="Q36" s="88" t="inlineStr">
        <is>
          <t>0.19%</t>
        </is>
      </c>
      <c r="R36" s="88" t="inlineStr">
        <is>
          <t>4.08%</t>
        </is>
      </c>
      <c r="S36" s="88" t="inlineStr">
        <is>
          <t>2.26%</t>
        </is>
      </c>
      <c r="T36" s="88" t="inlineStr">
        <is>
          <t>0.16%</t>
        </is>
      </c>
      <c r="U36" s="88" t="inlineStr">
        <is>
          <t>0.99%</t>
        </is>
      </c>
    </row>
    <row r="37">
      <c r="A37" s="88" t="inlineStr">
        <is>
          <t>36</t>
        </is>
      </c>
      <c r="B37" s="91" t="n">
        <v>46147</v>
      </c>
      <c r="C37" s="89" t="n">
        <v>2607</v>
      </c>
      <c r="D37" s="89" t="n">
        <v>2655</v>
      </c>
      <c r="E37" s="89" t="n">
        <v>2508</v>
      </c>
      <c r="F37" s="89" t="n">
        <v>147</v>
      </c>
      <c r="G37" s="89" t="n">
        <v>1986</v>
      </c>
      <c r="H37" s="89" t="n">
        <v>78</v>
      </c>
      <c r="I37" s="89" t="n">
        <v>37</v>
      </c>
      <c r="J37" s="89" t="n">
        <v>35</v>
      </c>
      <c r="K37" s="90" t="n">
        <v>739</v>
      </c>
      <c r="L37" s="89" t="n">
        <v>46</v>
      </c>
      <c r="M37" s="88" t="inlineStr">
        <is>
          <t>76.18%</t>
        </is>
      </c>
      <c r="N37" s="88" t="inlineStr">
        <is>
          <t>3.93%</t>
        </is>
      </c>
      <c r="O37" s="88" t="inlineStr">
        <is>
          <t>1.86%</t>
        </is>
      </c>
      <c r="P37" s="88" t="inlineStr">
        <is>
          <t>44.87%</t>
        </is>
      </c>
      <c r="Q37" s="88" t="inlineStr">
        <is>
          <t>1.76%</t>
        </is>
      </c>
      <c r="R37" s="88" t="inlineStr">
        <is>
          <t>2.99%</t>
        </is>
      </c>
      <c r="S37" s="88" t="inlineStr">
        <is>
          <t>1.42%</t>
        </is>
      </c>
      <c r="T37" s="88" t="inlineStr">
        <is>
          <t>1.34%</t>
        </is>
      </c>
      <c r="U37" s="88" t="inlineStr">
        <is>
          <t>4.74%</t>
        </is>
      </c>
    </row>
    <row r="38">
      <c r="A38" s="88" t="inlineStr">
        <is>
          <t>37</t>
        </is>
      </c>
      <c r="B38" s="91" t="n">
        <v>46148</v>
      </c>
      <c r="C38" s="89" t="n">
        <v>1763</v>
      </c>
      <c r="D38" s="89" t="n">
        <v>2677</v>
      </c>
      <c r="E38" s="89" t="n">
        <v>2466</v>
      </c>
      <c r="F38" s="89" t="n">
        <v>211</v>
      </c>
      <c r="G38" s="89" t="n">
        <v>1602</v>
      </c>
      <c r="H38" s="89" t="n">
        <v>92</v>
      </c>
      <c r="I38" s="89" t="n">
        <v>85</v>
      </c>
      <c r="J38" s="89" t="n">
        <v>40</v>
      </c>
      <c r="K38" s="90" t="n">
        <v>1548</v>
      </c>
      <c r="L38" s="89" t="n">
        <v>15</v>
      </c>
      <c r="M38" s="88" t="inlineStr">
        <is>
          <t>90.87%</t>
        </is>
      </c>
      <c r="N38" s="88" t="inlineStr">
        <is>
          <t>5.74%</t>
        </is>
      </c>
      <c r="O38" s="88" t="inlineStr">
        <is>
          <t>5.31%</t>
        </is>
      </c>
      <c r="P38" s="88" t="inlineStr">
        <is>
          <t>43.48%</t>
        </is>
      </c>
      <c r="Q38" s="88" t="inlineStr">
        <is>
          <t>2.50%</t>
        </is>
      </c>
      <c r="R38" s="88" t="inlineStr">
        <is>
          <t>5.22%</t>
        </is>
      </c>
      <c r="S38" s="88" t="inlineStr">
        <is>
          <t>4.82%</t>
        </is>
      </c>
      <c r="T38" s="88" t="inlineStr">
        <is>
          <t>2.27%</t>
        </is>
      </c>
      <c r="U38" s="88" t="inlineStr">
        <is>
          <t>2.58%</t>
        </is>
      </c>
    </row>
    <row r="39">
      <c r="A39" s="88" t="inlineStr">
        <is>
          <t>38</t>
        </is>
      </c>
      <c r="B39" s="91" t="n">
        <v>46149</v>
      </c>
      <c r="C39" s="89" t="n">
        <v>1711</v>
      </c>
      <c r="D39" s="89" t="n">
        <v>1873</v>
      </c>
      <c r="E39" s="89" t="n">
        <v>1630</v>
      </c>
      <c r="F39" s="89" t="n">
        <v>243</v>
      </c>
      <c r="G39" s="89" t="n">
        <v>1608</v>
      </c>
      <c r="H39" s="89" t="n">
        <v>46</v>
      </c>
      <c r="I39" s="89" t="n">
        <v>43</v>
      </c>
      <c r="J39" s="89" t="n">
        <v>132</v>
      </c>
      <c r="K39" s="90" t="n">
        <v>4862</v>
      </c>
      <c r="L39" s="89" t="n">
        <v>4</v>
      </c>
      <c r="M39" s="88" t="inlineStr">
        <is>
          <t>93.98%</t>
        </is>
      </c>
      <c r="N39" s="88" t="inlineStr">
        <is>
          <t>2.86%</t>
        </is>
      </c>
      <c r="O39" s="88" t="inlineStr">
        <is>
          <t>2.67%</t>
        </is>
      </c>
      <c r="P39" s="88" t="inlineStr">
        <is>
          <t>286.96%</t>
        </is>
      </c>
      <c r="Q39" s="88" t="inlineStr">
        <is>
          <t>8.21%</t>
        </is>
      </c>
      <c r="R39" s="88" t="inlineStr">
        <is>
          <t>2.69%</t>
        </is>
      </c>
      <c r="S39" s="88" t="inlineStr">
        <is>
          <t>2.51%</t>
        </is>
      </c>
      <c r="T39" s="88" t="inlineStr">
        <is>
          <t>7.71%</t>
        </is>
      </c>
      <c r="U39" s="88" t="inlineStr">
        <is>
          <t>2.71%</t>
        </is>
      </c>
    </row>
    <row r="40">
      <c r="A40" s="25" t="n"/>
      <c r="B40" s="28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3" t="n"/>
      <c r="L40" s="92" t="n"/>
      <c r="M40" s="25" t="n"/>
      <c r="N40" s="25" t="n"/>
      <c r="O40" s="25" t="n"/>
      <c r="P40" s="25" t="n"/>
      <c r="Q40" s="25" t="n"/>
      <c r="R40" s="25" t="n"/>
      <c r="S40" s="25" t="n"/>
      <c r="T40" s="25" t="n"/>
      <c r="U40" s="25" t="n"/>
    </row>
    <row r="41">
      <c r="A41" s="25" t="n"/>
      <c r="B41" s="28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3" t="n"/>
      <c r="L41" s="92" t="n"/>
      <c r="M41" s="25" t="n"/>
      <c r="N41" s="25" t="n"/>
      <c r="O41" s="25" t="n"/>
      <c r="P41" s="25" t="n"/>
      <c r="Q41" s="25" t="n"/>
      <c r="R41" s="25" t="n"/>
      <c r="S41" s="25" t="n"/>
      <c r="T41" s="25" t="n"/>
      <c r="U41" s="25" t="n"/>
    </row>
    <row r="42">
      <c r="A42" s="25" t="n"/>
      <c r="B42" s="28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3" t="n"/>
      <c r="L42" s="92" t="n"/>
      <c r="M42" s="25" t="n"/>
      <c r="N42" s="25" t="n"/>
      <c r="O42" s="25" t="n"/>
      <c r="P42" s="25" t="n"/>
      <c r="Q42" s="25" t="n"/>
      <c r="R42" s="25" t="n"/>
      <c r="S42" s="25" t="n"/>
      <c r="T42" s="25" t="n"/>
      <c r="U42" s="25" t="n"/>
    </row>
    <row r="43">
      <c r="A43" s="25" t="n"/>
      <c r="B43" s="28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3" t="n"/>
      <c r="L43" s="92" t="n"/>
      <c r="M43" s="25" t="n"/>
      <c r="N43" s="25" t="n"/>
      <c r="O43" s="25" t="n"/>
      <c r="P43" s="25" t="n"/>
      <c r="Q43" s="25" t="n"/>
      <c r="R43" s="25" t="n"/>
      <c r="S43" s="25" t="n"/>
      <c r="T43" s="25" t="n"/>
      <c r="U43" s="25" t="n"/>
    </row>
    <row r="44">
      <c r="A44" s="25" t="n"/>
      <c r="B44" s="28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3" t="n"/>
      <c r="L44" s="92" t="n"/>
      <c r="M44" s="25" t="n"/>
      <c r="N44" s="25" t="n"/>
      <c r="O44" s="25" t="n"/>
      <c r="P44" s="25" t="n"/>
      <c r="Q44" s="25" t="n"/>
      <c r="R44" s="25" t="n"/>
      <c r="S44" s="25" t="n"/>
      <c r="T44" s="25" t="n"/>
      <c r="U44" s="25" t="n"/>
    </row>
    <row r="45">
      <c r="A45" s="25" t="n"/>
      <c r="B45" s="28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3" t="n"/>
      <c r="L45" s="92" t="n"/>
      <c r="M45" s="25" t="n"/>
      <c r="N45" s="25" t="n"/>
      <c r="O45" s="25" t="n"/>
      <c r="P45" s="25" t="n"/>
      <c r="Q45" s="25" t="n"/>
      <c r="R45" s="25" t="n"/>
      <c r="S45" s="25" t="n"/>
      <c r="T45" s="25" t="n"/>
      <c r="U45" s="25" t="n"/>
    </row>
    <row r="46">
      <c r="A46" s="25" t="n"/>
      <c r="B46" s="28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3" t="n"/>
      <c r="L46" s="92" t="n"/>
      <c r="M46" s="25" t="n"/>
      <c r="N46" s="25" t="n"/>
      <c r="O46" s="25" t="n"/>
      <c r="P46" s="25" t="n"/>
      <c r="Q46" s="25" t="n"/>
      <c r="R46" s="25" t="n"/>
      <c r="S46" s="25" t="n"/>
      <c r="T46" s="25" t="n"/>
      <c r="U46" s="25" t="n"/>
    </row>
    <row r="47">
      <c r="A47" s="25" t="n"/>
      <c r="B47" s="28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3" t="n"/>
      <c r="L47" s="92" t="n"/>
      <c r="M47" s="25" t="n"/>
      <c r="N47" s="25" t="n"/>
      <c r="O47" s="25" t="n"/>
      <c r="P47" s="25" t="n"/>
      <c r="Q47" s="25" t="n"/>
      <c r="R47" s="25" t="n"/>
      <c r="S47" s="25" t="n"/>
      <c r="T47" s="25" t="n"/>
      <c r="U47" s="25" t="n"/>
    </row>
    <row r="48">
      <c r="A48" s="25" t="n"/>
      <c r="B48" s="28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3" t="n"/>
      <c r="L48" s="92" t="n"/>
      <c r="M48" s="25" t="n"/>
      <c r="N48" s="25" t="n"/>
      <c r="O48" s="25" t="n"/>
      <c r="P48" s="25" t="n"/>
      <c r="Q48" s="25" t="n"/>
      <c r="R48" s="25" t="n"/>
      <c r="S48" s="25" t="n"/>
      <c r="T48" s="25" t="n"/>
      <c r="U48" s="25" t="n"/>
    </row>
    <row r="49">
      <c r="A49" s="25" t="n"/>
      <c r="B49" s="28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3" t="n"/>
      <c r="L49" s="92" t="n"/>
      <c r="M49" s="25" t="n"/>
      <c r="N49" s="25" t="n"/>
      <c r="O49" s="25" t="n"/>
      <c r="P49" s="25" t="n"/>
      <c r="Q49" s="25" t="n"/>
      <c r="R49" s="25" t="n"/>
      <c r="S49" s="25" t="n"/>
      <c r="T49" s="25" t="n"/>
      <c r="U49" s="25" t="n"/>
    </row>
    <row r="50">
      <c r="A50" s="25" t="n"/>
      <c r="B50" s="28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3" t="n"/>
      <c r="L50" s="92" t="n"/>
      <c r="M50" s="25" t="n"/>
      <c r="N50" s="25" t="n"/>
      <c r="O50" s="25" t="n"/>
      <c r="P50" s="25" t="n"/>
      <c r="Q50" s="25" t="n"/>
      <c r="R50" s="25" t="n"/>
      <c r="S50" s="25" t="n"/>
      <c r="T50" s="25" t="n"/>
      <c r="U50" s="25" t="n"/>
    </row>
    <row r="51">
      <c r="A51" s="25" t="n"/>
      <c r="B51" s="28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3" t="n"/>
      <c r="L51" s="92" t="n"/>
      <c r="M51" s="25" t="n"/>
      <c r="N51" s="25" t="n"/>
      <c r="O51" s="25" t="n"/>
      <c r="P51" s="25" t="n"/>
      <c r="Q51" s="25" t="n"/>
      <c r="R51" s="25" t="n"/>
      <c r="S51" s="25" t="n"/>
      <c r="T51" s="25" t="n"/>
      <c r="U51" s="25" t="n"/>
    </row>
    <row r="52">
      <c r="A52" s="25" t="n"/>
      <c r="B52" s="28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3" t="n"/>
      <c r="L52" s="92" t="n"/>
      <c r="M52" s="25" t="n"/>
      <c r="N52" s="25" t="n"/>
      <c r="O52" s="25" t="n"/>
      <c r="P52" s="25" t="n"/>
      <c r="Q52" s="25" t="n"/>
      <c r="R52" s="25" t="n"/>
      <c r="S52" s="25" t="n"/>
      <c r="T52" s="25" t="n"/>
      <c r="U52" s="25" t="n"/>
    </row>
    <row r="53">
      <c r="A53" s="25" t="n"/>
      <c r="B53" s="28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3" t="n"/>
      <c r="L53" s="92" t="n"/>
      <c r="M53" s="25" t="n"/>
      <c r="N53" s="25" t="n"/>
      <c r="O53" s="25" t="n"/>
      <c r="P53" s="25" t="n"/>
      <c r="Q53" s="25" t="n"/>
      <c r="R53" s="25" t="n"/>
      <c r="S53" s="25" t="n"/>
      <c r="T53" s="25" t="n"/>
      <c r="U53" s="25" t="n"/>
    </row>
    <row r="54">
      <c r="A54" s="25" t="n"/>
      <c r="B54" s="28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3" t="n"/>
      <c r="L54" s="92" t="n"/>
      <c r="M54" s="25" t="n"/>
      <c r="N54" s="25" t="n"/>
      <c r="O54" s="25" t="n"/>
      <c r="P54" s="25" t="n"/>
      <c r="Q54" s="25" t="n"/>
      <c r="R54" s="25" t="n"/>
      <c r="S54" s="25" t="n"/>
      <c r="T54" s="25" t="n"/>
      <c r="U54" s="25" t="n"/>
    </row>
    <row r="55">
      <c r="A55" s="25" t="n"/>
      <c r="B55" s="28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3" t="n"/>
      <c r="L55" s="92" t="n"/>
      <c r="M55" s="25" t="n"/>
      <c r="N55" s="25" t="n"/>
      <c r="O55" s="25" t="n"/>
      <c r="P55" s="25" t="n"/>
      <c r="Q55" s="25" t="n"/>
      <c r="R55" s="25" t="n"/>
      <c r="S55" s="25" t="n"/>
      <c r="T55" s="25" t="n"/>
      <c r="U55" s="25" t="n"/>
    </row>
    <row r="56">
      <c r="A56" s="25" t="n"/>
      <c r="B56" s="28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3" t="n"/>
      <c r="L56" s="92" t="n"/>
      <c r="M56" s="25" t="n"/>
      <c r="N56" s="25" t="n"/>
      <c r="O56" s="25" t="n"/>
      <c r="P56" s="25" t="n"/>
      <c r="Q56" s="25" t="n"/>
      <c r="R56" s="25" t="n"/>
      <c r="S56" s="25" t="n"/>
      <c r="T56" s="25" t="n"/>
      <c r="U56" s="25" t="n"/>
    </row>
    <row r="57">
      <c r="A57" s="25" t="n"/>
      <c r="B57" s="28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3" t="n"/>
      <c r="L57" s="92" t="n"/>
      <c r="M57" s="25" t="n"/>
      <c r="N57" s="25" t="n"/>
      <c r="O57" s="25" t="n"/>
      <c r="P57" s="25" t="n"/>
      <c r="Q57" s="25" t="n"/>
      <c r="R57" s="25" t="n"/>
      <c r="S57" s="25" t="n"/>
      <c r="T57" s="25" t="n"/>
      <c r="U57" s="25" t="n"/>
    </row>
    <row r="58">
      <c r="A58" s="25" t="n"/>
      <c r="B58" s="28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3" t="n"/>
      <c r="L58" s="92" t="n"/>
      <c r="M58" s="25" t="n"/>
      <c r="N58" s="25" t="n"/>
      <c r="O58" s="25" t="n"/>
      <c r="P58" s="25" t="n"/>
      <c r="Q58" s="25" t="n"/>
      <c r="R58" s="25" t="n"/>
      <c r="S58" s="25" t="n"/>
      <c r="T58" s="25" t="n"/>
      <c r="U58" s="25" t="n"/>
    </row>
    <row r="59">
      <c r="A59" s="25" t="n"/>
      <c r="B59" s="28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3" t="n"/>
      <c r="L59" s="92" t="n"/>
      <c r="M59" s="25" t="n"/>
      <c r="N59" s="25" t="n"/>
      <c r="O59" s="25" t="n"/>
      <c r="P59" s="25" t="n"/>
      <c r="Q59" s="25" t="n"/>
      <c r="R59" s="25" t="n"/>
      <c r="S59" s="25" t="n"/>
      <c r="T59" s="25" t="n"/>
      <c r="U59" s="25" t="n"/>
    </row>
    <row r="60">
      <c r="A60" s="25" t="n"/>
      <c r="B60" s="28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3" t="n"/>
      <c r="L60" s="92" t="n"/>
      <c r="M60" s="25" t="n"/>
      <c r="N60" s="25" t="n"/>
      <c r="O60" s="25" t="n"/>
      <c r="P60" s="25" t="n"/>
      <c r="Q60" s="25" t="n"/>
      <c r="R60" s="25" t="n"/>
      <c r="S60" s="25" t="n"/>
      <c r="T60" s="25" t="n"/>
      <c r="U60" s="25" t="n"/>
    </row>
    <row r="61">
      <c r="A61" s="25" t="n"/>
      <c r="B61" s="28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3" t="n"/>
      <c r="L61" s="92" t="n"/>
      <c r="M61" s="25" t="n"/>
      <c r="N61" s="25" t="n"/>
      <c r="O61" s="25" t="n"/>
      <c r="P61" s="25" t="n"/>
      <c r="Q61" s="25" t="n"/>
      <c r="R61" s="25" t="n"/>
      <c r="S61" s="25" t="n"/>
      <c r="T61" s="25" t="n"/>
      <c r="U61" s="25" t="n"/>
    </row>
    <row r="62">
      <c r="A62" s="25" t="n"/>
      <c r="B62" s="28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3" t="n"/>
      <c r="L62" s="92" t="n"/>
      <c r="M62" s="25" t="n"/>
      <c r="N62" s="25" t="n"/>
      <c r="O62" s="25" t="n"/>
      <c r="P62" s="25" t="n"/>
      <c r="Q62" s="25" t="n"/>
      <c r="R62" s="25" t="n"/>
      <c r="S62" s="25" t="n"/>
      <c r="T62" s="25" t="n"/>
      <c r="U62" s="25" t="n"/>
    </row>
    <row r="63">
      <c r="A63" s="25" t="n"/>
      <c r="B63" s="28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3" t="n"/>
      <c r="L63" s="92" t="n"/>
      <c r="M63" s="25" t="n"/>
      <c r="N63" s="25" t="n"/>
      <c r="O63" s="25" t="n"/>
      <c r="P63" s="25" t="n"/>
      <c r="Q63" s="25" t="n"/>
      <c r="R63" s="25" t="n"/>
      <c r="S63" s="25" t="n"/>
      <c r="T63" s="25" t="n"/>
      <c r="U63" s="25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5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2026-05-08T01:07:34Z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